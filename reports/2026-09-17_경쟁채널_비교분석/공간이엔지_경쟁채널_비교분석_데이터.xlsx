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채널지표" sheetId="1" state="visible" r:id="rId3"/>
    <sheet name="점수표" sheetId="2" state="visible" r:id="rId4"/>
    <sheet name="10대 항목 비교" sheetId="3" state="visible" r:id="rId5"/>
    <sheet name="제목·썸네일 기법" sheetId="4" state="visible" r:id="rId6"/>
    <sheet name="콘텐츠 주제 분포" sheetId="5" state="visible" r:id="rId7"/>
    <sheet name="영상 기법 비교" sheetId="6" state="visible" r:id="rId8"/>
    <sheet name="인기영상 TOP10" sheetId="7" state="visible" r:id="rId9"/>
    <sheet name="회사·운영 비교" sheetId="8" state="visible" r:id="rId10"/>
    <sheet name="실행 과제" sheetId="9" state="visible" r:id="rId11"/>
    <sheet name="출처·기준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<sst xmlns="http://schemas.openxmlformats.org/spreadsheetml/2006/main" count="618" uniqueCount="427">
  <si>
    <r>
      <rPr>
        <b val="true"/>
        <sz val="16"/>
        <color rgb="FF1F2A2C"/>
        <rFont val="Noto Sans CJK SC"/>
        <family val="2"/>
      </rPr>
      <t xml:space="preserve">채널 핵심 지표 </t>
    </r>
    <r>
      <rPr>
        <b val="true"/>
        <sz val="16"/>
        <color rgb="FF1F2A2C"/>
        <rFont val="Arial"/>
        <family val="0"/>
        <charset val="1"/>
      </rPr>
      <t xml:space="preserve">(2026-09-17 </t>
    </r>
    <r>
      <rPr>
        <b val="true"/>
        <sz val="16"/>
        <color rgb="FF1F2A2C"/>
        <rFont val="Noto Sans CJK SC"/>
        <family val="2"/>
      </rPr>
      <t xml:space="preserve">수집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</si>
  <si>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파란 글씨 </t>
    </r>
    <r>
      <rPr>
        <sz val="10"/>
        <color rgb="FF6B7775"/>
        <rFont val="Arial"/>
        <family val="0"/>
        <charset val="1"/>
      </rPr>
      <t xml:space="preserve">= </t>
    </r>
    <r>
      <rPr>
        <sz val="10"/>
        <color rgb="FF6B7775"/>
        <rFont val="Noto Sans CJK SC"/>
        <family val="2"/>
      </rPr>
      <t xml:space="preserve">수집 원자료</t>
    </r>
    <r>
      <rPr>
        <sz val="10"/>
        <color rgb="FF6B7775"/>
        <rFont val="Arial"/>
        <family val="0"/>
        <charset val="1"/>
      </rPr>
      <t xml:space="preserve">(</t>
    </r>
    <r>
      <rPr>
        <sz val="10"/>
        <color rgb="FF6B7775"/>
        <rFont val="Noto Sans CJK SC"/>
        <family val="2"/>
      </rPr>
      <t xml:space="preserve">수정 가능</t>
    </r>
    <r>
      <rPr>
        <sz val="10"/>
        <color rgb="FF6B7775"/>
        <rFont val="Arial"/>
        <family val="0"/>
        <charset val="1"/>
      </rPr>
      <t xml:space="preserve">), </t>
    </r>
    <r>
      <rPr>
        <sz val="10"/>
        <color rgb="FF6B7775"/>
        <rFont val="Noto Sans CJK SC"/>
        <family val="2"/>
      </rPr>
      <t xml:space="preserve">검은 글씨 </t>
    </r>
    <r>
      <rPr>
        <sz val="10"/>
        <color rgb="FF6B7775"/>
        <rFont val="Arial"/>
        <family val="0"/>
        <charset val="1"/>
      </rPr>
      <t xml:space="preserve">= </t>
    </r>
    <r>
      <rPr>
        <sz val="10"/>
        <color rgb="FF6B7775"/>
        <rFont val="Noto Sans CJK SC"/>
        <family val="2"/>
      </rPr>
      <t xml:space="preserve">수식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마지막 열은 공간이엔지 </t>
    </r>
    <r>
      <rPr>
        <sz val="10"/>
        <color rgb="FF6B7775"/>
        <rFont val="Arial"/>
        <family val="0"/>
        <charset val="1"/>
      </rPr>
      <t xml:space="preserve">vs </t>
    </r>
    <r>
      <rPr>
        <sz val="10"/>
        <color rgb="FF6B7775"/>
        <rFont val="Noto Sans CJK SC"/>
        <family val="2"/>
      </rPr>
      <t xml:space="preserve">경쟁 </t>
    </r>
    <r>
      <rPr>
        <sz val="10"/>
        <color rgb="FF6B7775"/>
        <rFont val="Arial"/>
        <family val="0"/>
        <charset val="1"/>
      </rPr>
      <t xml:space="preserve">4</t>
    </r>
    <r>
      <rPr>
        <sz val="10"/>
        <color rgb="FF6B7775"/>
        <rFont val="Noto Sans CJK SC"/>
        <family val="2"/>
      </rPr>
      <t xml:space="preserve">사 평균</t>
    </r>
    <r>
      <rPr>
        <sz val="10"/>
        <color rgb="FF6B7775"/>
        <rFont val="Arial"/>
        <family val="0"/>
        <charset val="1"/>
      </rPr>
      <t xml:space="preserve">.</t>
    </r>
  </si>
  <si>
    <t xml:space="preserve">지표</t>
  </si>
  <si>
    <t xml:space="preserve">무아공간</t>
  </si>
  <si>
    <t xml:space="preserve">인테리언니</t>
  </si>
  <si>
    <t xml:space="preserve">홈파베르</t>
  </si>
  <si>
    <t xml:space="preserve">디자인쉐어</t>
  </si>
  <si>
    <t xml:space="preserve">공간이엔지</t>
  </si>
  <si>
    <r>
      <rPr>
        <b val="true"/>
        <sz val="10"/>
        <color rgb="FFFFFFFF"/>
        <rFont val="Noto Sans CJK SC"/>
        <family val="2"/>
      </rPr>
      <t xml:space="preserve">경쟁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사 평균</t>
    </r>
  </si>
  <si>
    <r>
      <rPr>
        <b val="true"/>
        <sz val="10"/>
        <color rgb="FFFFFFFF"/>
        <rFont val="Noto Sans CJK SC"/>
        <family val="2"/>
      </rPr>
      <t xml:space="preserve">공간이엔지 </t>
    </r>
    <r>
      <rPr>
        <b val="true"/>
        <sz val="10"/>
        <color rgb="FFFFFFFF"/>
        <rFont val="Arial"/>
        <family val="0"/>
        <charset val="1"/>
      </rPr>
      <t xml:space="preserve">÷ </t>
    </r>
    <r>
      <rPr>
        <b val="true"/>
        <sz val="10"/>
        <color rgb="FFFFFFFF"/>
        <rFont val="Noto Sans CJK SC"/>
        <family val="2"/>
      </rPr>
      <t xml:space="preserve">평균</t>
    </r>
  </si>
  <si>
    <t xml:space="preserve">구독자 수</t>
  </si>
  <si>
    <t xml:space="preserve">누적 조회수</t>
  </si>
  <si>
    <t xml:space="preserve">총 영상 수</t>
  </si>
  <si>
    <r>
      <rPr>
        <b val="true"/>
        <sz val="10"/>
        <color rgb="FF1F2A2C"/>
        <rFont val="Noto Sans CJK SC"/>
        <family val="2"/>
      </rPr>
      <t xml:space="preserve">최근 </t>
    </r>
    <r>
      <rPr>
        <b val="true"/>
        <sz val="10"/>
        <color rgb="FF1F2A2C"/>
        <rFont val="Arial"/>
        <family val="0"/>
        <charset val="1"/>
      </rPr>
      <t xml:space="preserve">30</t>
    </r>
    <r>
      <rPr>
        <b val="true"/>
        <sz val="10"/>
        <color rgb="FF1F2A2C"/>
        <rFont val="Noto Sans CJK SC"/>
        <family val="2"/>
      </rPr>
      <t xml:space="preserve">일 업로드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</si>
  <si>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최근 </t>
    </r>
    <r>
      <rPr>
        <b val="true"/>
        <sz val="10"/>
        <color rgb="FF1F2A2C"/>
        <rFont val="Arial"/>
        <family val="0"/>
        <charset val="1"/>
      </rPr>
      <t xml:space="preserve">90</t>
    </r>
    <r>
      <rPr>
        <b val="true"/>
        <sz val="10"/>
        <color rgb="FF1F2A2C"/>
        <rFont val="Noto Sans CJK SC"/>
        <family val="2"/>
      </rPr>
      <t xml:space="preserve">일 업로드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</si>
  <si>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최근 </t>
    </r>
    <r>
      <rPr>
        <b val="true"/>
        <sz val="10"/>
        <color rgb="FF1F2A2C"/>
        <rFont val="Arial"/>
        <family val="0"/>
        <charset val="1"/>
      </rPr>
      <t xml:space="preserve">365</t>
    </r>
    <r>
      <rPr>
        <b val="true"/>
        <sz val="10"/>
        <color rgb="FF1F2A2C"/>
        <rFont val="Noto Sans CJK SC"/>
        <family val="2"/>
      </rPr>
      <t xml:space="preserve">일 업로드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</si>
  <si>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롱폼 중간 길이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분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</si>
  <si>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Arial"/>
        <family val="0"/>
        <charset val="1"/>
      </rPr>
      <t xml:space="preserve">3</t>
    </r>
    <r>
      <rPr>
        <b val="true"/>
        <sz val="10"/>
        <color rgb="FF1F2A2C"/>
        <rFont val="Noto Sans CJK SC"/>
        <family val="2"/>
      </rPr>
      <t xml:space="preserve">분 미만 비중</t>
    </r>
  </si>
  <si>
    <r>
      <rPr>
        <b val="true"/>
        <sz val="10"/>
        <color rgb="FF1F2A2C"/>
        <rFont val="Arial"/>
        <family val="0"/>
        <charset val="1"/>
      </rPr>
      <t xml:space="preserve">10~20</t>
    </r>
    <r>
      <rPr>
        <b val="true"/>
        <sz val="10"/>
        <color rgb="FF1F2A2C"/>
        <rFont val="Noto Sans CJK SC"/>
        <family val="2"/>
      </rPr>
      <t xml:space="preserve">분 비중</t>
    </r>
  </si>
  <si>
    <r>
      <rPr>
        <b val="true"/>
        <sz val="10"/>
        <color rgb="FF1F2A2C"/>
        <rFont val="Arial"/>
        <family val="0"/>
        <charset val="1"/>
      </rPr>
      <t xml:space="preserve">20</t>
    </r>
    <r>
      <rPr>
        <b val="true"/>
        <sz val="10"/>
        <color rgb="FF1F2A2C"/>
        <rFont val="Noto Sans CJK SC"/>
        <family val="2"/>
      </rPr>
      <t xml:space="preserve">분 이상 비중</t>
    </r>
  </si>
  <si>
    <r>
      <rPr>
        <b val="true"/>
        <sz val="10"/>
        <color rgb="FF1F2A2C"/>
        <rFont val="Noto Sans CJK SC"/>
        <family val="2"/>
      </rPr>
      <t xml:space="preserve">영상 조회수 중앙값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표본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</si>
  <si>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최근 </t>
    </r>
    <r>
      <rPr>
        <b val="true"/>
        <sz val="10"/>
        <color rgb="FF1F2A2C"/>
        <rFont val="Arial"/>
        <family val="0"/>
        <charset val="1"/>
      </rPr>
      <t xml:space="preserve">20</t>
    </r>
    <r>
      <rPr>
        <b val="true"/>
        <sz val="10"/>
        <color rgb="FF1F2A2C"/>
        <rFont val="Noto Sans CJK SC"/>
        <family val="2"/>
      </rPr>
      <t xml:space="preserve">편 조회수 중앙값</t>
    </r>
  </si>
  <si>
    <r>
      <rPr>
        <b val="true"/>
        <sz val="10"/>
        <color rgb="FF1F2A2C"/>
        <rFont val="Noto Sans CJK SC"/>
        <family val="2"/>
      </rPr>
      <t xml:space="preserve">최고 조회수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표본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</si>
  <si>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쇼츠 수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수집분</t>
    </r>
    <r>
      <rPr>
        <b val="true"/>
        <sz val="10"/>
        <color rgb="FF1F2A2C"/>
        <rFont val="Arial"/>
        <family val="0"/>
        <charset val="1"/>
      </rPr>
      <t xml:space="preserve">)</t>
    </r>
  </si>
  <si>
    <t xml:space="preserve">쇼츠 조회수 중앙값</t>
  </si>
  <si>
    <t xml:space="preserve">쇼츠 최고 조회수</t>
  </si>
  <si>
    <t xml:space="preserve">재생목록 운영</t>
  </si>
  <si>
    <t xml:space="preserve">○</t>
  </si>
  <si>
    <t xml:space="preserve">×</t>
  </si>
  <si>
    <t xml:space="preserve">게시물 탭 운영</t>
  </si>
  <si>
    <t xml:space="preserve">라이브 운영</t>
  </si>
  <si>
    <r>
      <rPr>
        <b val="true"/>
        <sz val="10"/>
        <color rgb="FF1F2A2C"/>
        <rFont val="Noto Sans CJK SC"/>
        <family val="2"/>
      </rPr>
      <t xml:space="preserve">영상당 평균 조회수 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누적 조회 </t>
    </r>
    <r>
      <rPr>
        <b val="true"/>
        <sz val="10"/>
        <color rgb="FF1F2A2C"/>
        <rFont val="Arial"/>
        <family val="0"/>
        <charset val="1"/>
      </rPr>
      <t xml:space="preserve">÷ </t>
    </r>
    <r>
      <rPr>
        <b val="true"/>
        <sz val="10"/>
        <color rgb="FF1F2A2C"/>
        <rFont val="Noto Sans CJK SC"/>
        <family val="2"/>
      </rPr>
      <t xml:space="preserve">영상 수</t>
    </r>
    <r>
      <rPr>
        <b val="true"/>
        <sz val="10"/>
        <color rgb="FF1F2A2C"/>
        <rFont val="Arial"/>
        <family val="0"/>
        <charset val="1"/>
      </rPr>
      <t xml:space="preserve">)</t>
    </r>
  </si>
  <si>
    <t xml:space="preserve">구독자당 누적 조회수</t>
  </si>
  <si>
    <r>
      <rPr>
        <b val="true"/>
        <sz val="10"/>
        <color rgb="FF1F2A2C"/>
        <rFont val="Noto Sans CJK SC"/>
        <family val="2"/>
      </rPr>
      <t xml:space="preserve">주당 업로드</t>
    </r>
    <r>
      <rPr>
        <b val="true"/>
        <sz val="10"/>
        <color rgb="FF1F2A2C"/>
        <rFont val="Arial"/>
        <family val="0"/>
        <charset val="1"/>
      </rPr>
      <t xml:space="preserve">(365</t>
    </r>
    <r>
      <rPr>
        <b val="true"/>
        <sz val="10"/>
        <color rgb="FF1F2A2C"/>
        <rFont val="Noto Sans CJK SC"/>
        <family val="2"/>
      </rPr>
      <t xml:space="preserve">일 기준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</si>
  <si>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구독자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천명당 최근 </t>
    </r>
    <r>
      <rPr>
        <b val="true"/>
        <sz val="10"/>
        <color rgb="FF1F2A2C"/>
        <rFont val="Arial"/>
        <family val="0"/>
        <charset val="1"/>
      </rPr>
      <t xml:space="preserve">20</t>
    </r>
    <r>
      <rPr>
        <b val="true"/>
        <sz val="10"/>
        <color rgb="FF1F2A2C"/>
        <rFont val="Noto Sans CJK SC"/>
        <family val="2"/>
      </rPr>
      <t xml:space="preserve">편 중앙값</t>
    </r>
  </si>
  <si>
    <r>
      <rPr>
        <sz val="10"/>
        <color rgb="FF6B7775"/>
        <rFont val="Noto Sans CJK SC"/>
        <family val="2"/>
      </rPr>
      <t xml:space="preserve">주</t>
    </r>
    <r>
      <rPr>
        <sz val="10"/>
        <color rgb="FF6B7775"/>
        <rFont val="Arial"/>
        <family val="0"/>
        <charset val="1"/>
      </rPr>
      <t xml:space="preserve">: </t>
    </r>
    <r>
      <rPr>
        <sz val="10"/>
        <color rgb="FF6B7775"/>
        <rFont val="Noto Sans CJK SC"/>
        <family val="2"/>
      </rPr>
      <t xml:space="preserve">영상 단위 지표는 최신순 표본</t>
    </r>
    <r>
      <rPr>
        <sz val="10"/>
        <color rgb="FF6B7775"/>
        <rFont val="Arial"/>
        <family val="0"/>
        <charset val="1"/>
      </rPr>
      <t xml:space="preserve">(</t>
    </r>
    <r>
      <rPr>
        <sz val="10"/>
        <color rgb="FF6B7775"/>
        <rFont val="Noto Sans CJK SC"/>
        <family val="2"/>
      </rPr>
      <t xml:space="preserve">무아 </t>
    </r>
    <r>
      <rPr>
        <sz val="10"/>
        <color rgb="FF6B7775"/>
        <rFont val="Arial"/>
        <family val="0"/>
        <charset val="1"/>
      </rPr>
      <t xml:space="preserve">180·</t>
    </r>
    <r>
      <rPr>
        <sz val="10"/>
        <color rgb="FF6B7775"/>
        <rFont val="Noto Sans CJK SC"/>
        <family val="2"/>
      </rPr>
      <t xml:space="preserve">인테리언니 </t>
    </r>
    <r>
      <rPr>
        <sz val="10"/>
        <color rgb="FF6B7775"/>
        <rFont val="Arial"/>
        <family val="0"/>
        <charset val="1"/>
      </rPr>
      <t xml:space="preserve">137·</t>
    </r>
    <r>
      <rPr>
        <sz val="10"/>
        <color rgb="FF6B7775"/>
        <rFont val="Noto Sans CJK SC"/>
        <family val="2"/>
      </rPr>
      <t xml:space="preserve">홈파베르 </t>
    </r>
    <r>
      <rPr>
        <sz val="10"/>
        <color rgb="FF6B7775"/>
        <rFont val="Arial"/>
        <family val="0"/>
        <charset val="1"/>
      </rPr>
      <t xml:space="preserve">180·</t>
    </r>
    <r>
      <rPr>
        <sz val="10"/>
        <color rgb="FF6B7775"/>
        <rFont val="Noto Sans CJK SC"/>
        <family val="2"/>
      </rPr>
      <t xml:space="preserve">디자인쉐어 </t>
    </r>
    <r>
      <rPr>
        <sz val="10"/>
        <color rgb="FF6B7775"/>
        <rFont val="Arial"/>
        <family val="0"/>
        <charset val="1"/>
      </rPr>
      <t xml:space="preserve">169·</t>
    </r>
    <r>
      <rPr>
        <sz val="10"/>
        <color rgb="FF6B7775"/>
        <rFont val="Noto Sans CJK SC"/>
        <family val="2"/>
      </rPr>
      <t xml:space="preserve">공간이엔지 </t>
    </r>
    <r>
      <rPr>
        <sz val="10"/>
        <color rgb="FF6B7775"/>
        <rFont val="Arial"/>
        <family val="0"/>
        <charset val="1"/>
      </rPr>
      <t xml:space="preserve">75</t>
    </r>
    <r>
      <rPr>
        <sz val="10"/>
        <color rgb="FF6B7775"/>
        <rFont val="Noto Sans CJK SC"/>
        <family val="2"/>
      </rPr>
      <t xml:space="preserve">편</t>
    </r>
    <r>
      <rPr>
        <sz val="10"/>
        <color rgb="FF6B7775"/>
        <rFont val="Arial"/>
        <family val="0"/>
        <charset val="1"/>
      </rPr>
      <t xml:space="preserve">) </t>
    </r>
    <r>
      <rPr>
        <sz val="10"/>
        <color rgb="FF6B7775"/>
        <rFont val="Noto Sans CJK SC"/>
        <family val="2"/>
      </rPr>
      <t xml:space="preserve">기준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구독자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누적 조회수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총 영상 수는 채널 정보 탭 기준</t>
    </r>
    <r>
      <rPr>
        <sz val="10"/>
        <color rgb="FF6B7775"/>
        <rFont val="Arial"/>
        <family val="0"/>
        <charset val="1"/>
      </rPr>
      <t xml:space="preserve">.</t>
    </r>
  </si>
  <si>
    <r>
      <rPr>
        <b val="true"/>
        <sz val="16"/>
        <color rgb="FF1F2A2C"/>
        <rFont val="Arial"/>
        <family val="0"/>
        <charset val="1"/>
      </rPr>
      <t xml:space="preserve">10</t>
    </r>
    <r>
      <rPr>
        <b val="true"/>
        <sz val="16"/>
        <color rgb="FF1F2A2C"/>
        <rFont val="Noto Sans CJK SC"/>
        <family val="2"/>
      </rPr>
      <t xml:space="preserve">대 항목 점수표 </t>
    </r>
    <r>
      <rPr>
        <b val="true"/>
        <sz val="16"/>
        <color rgb="FF1F2A2C"/>
        <rFont val="Arial"/>
        <family val="0"/>
        <charset val="1"/>
      </rPr>
      <t xml:space="preserve">(1 = </t>
    </r>
    <r>
      <rPr>
        <b val="true"/>
        <sz val="16"/>
        <color rgb="FF1F2A2C"/>
        <rFont val="Noto Sans CJK SC"/>
        <family val="2"/>
      </rPr>
      <t xml:space="preserve">매우 취약</t>
    </r>
    <r>
      <rPr>
        <b val="true"/>
        <sz val="16"/>
        <color rgb="FF1F2A2C"/>
        <rFont val="Arial"/>
        <family val="0"/>
        <charset val="1"/>
      </rPr>
      <t xml:space="preserve">, 5 = </t>
    </r>
    <r>
      <rPr>
        <b val="true"/>
        <sz val="16"/>
        <color rgb="FF1F2A2C"/>
        <rFont val="Noto Sans CJK SC"/>
        <family val="2"/>
      </rPr>
      <t xml:space="preserve">업계 최상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</si>
  <si>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파란 점수만 고치면 합계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경쟁 평균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갭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우선순위가 자동 재계산됩니다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갭 </t>
    </r>
    <r>
      <rPr>
        <sz val="10"/>
        <color rgb="FF6B7775"/>
        <rFont val="Arial"/>
        <family val="0"/>
        <charset val="1"/>
      </rPr>
      <t xml:space="preserve">= </t>
    </r>
    <r>
      <rPr>
        <sz val="10"/>
        <color rgb="FF6B7775"/>
        <rFont val="Noto Sans CJK SC"/>
        <family val="2"/>
      </rPr>
      <t xml:space="preserve">경쟁 </t>
    </r>
    <r>
      <rPr>
        <sz val="10"/>
        <color rgb="FF6B7775"/>
        <rFont val="Arial"/>
        <family val="0"/>
        <charset val="1"/>
      </rPr>
      <t xml:space="preserve">4</t>
    </r>
    <r>
      <rPr>
        <sz val="10"/>
        <color rgb="FF6B7775"/>
        <rFont val="Noto Sans CJK SC"/>
        <family val="2"/>
      </rPr>
      <t xml:space="preserve">사 평균 − 공간이엔지</t>
    </r>
    <r>
      <rPr>
        <sz val="10"/>
        <color rgb="FF6B7775"/>
        <rFont val="Arial"/>
        <family val="0"/>
        <charset val="1"/>
      </rPr>
      <t xml:space="preserve">.</t>
    </r>
  </si>
  <si>
    <t xml:space="preserve">#</t>
  </si>
  <si>
    <t xml:space="preserve">비교 항목</t>
  </si>
  <si>
    <r>
      <rPr>
        <b val="true"/>
        <sz val="10"/>
        <color rgb="FFFFFFFF"/>
        <rFont val="Noto Sans CJK SC"/>
        <family val="2"/>
      </rPr>
      <t xml:space="preserve">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평균−공간이엔지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</si>
  <si>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개선 우선순위</t>
  </si>
  <si>
    <r>
      <rPr>
        <b val="true"/>
        <sz val="10"/>
        <color rgb="FF1F2A2C"/>
        <rFont val="Noto Sans CJK SC"/>
        <family val="2"/>
      </rPr>
      <t xml:space="preserve">채널 규모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도달력</t>
    </r>
  </si>
  <si>
    <r>
      <rPr>
        <b val="true"/>
        <sz val="10"/>
        <color rgb="FF1F2A2C"/>
        <rFont val="Noto Sans CJK SC"/>
        <family val="2"/>
      </rPr>
      <t xml:space="preserve">콘텐츠 포맷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영상 길이</t>
    </r>
  </si>
  <si>
    <r>
      <rPr>
        <b val="true"/>
        <sz val="10"/>
        <color rgb="FF1F2A2C"/>
        <rFont val="Noto Sans CJK SC"/>
        <family val="2"/>
      </rPr>
      <t xml:space="preserve">업로드 리듬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지속성</t>
    </r>
  </si>
  <si>
    <t xml:space="preserve">콘텐츠 주제 믹스</t>
  </si>
  <si>
    <r>
      <rPr>
        <b val="true"/>
        <sz val="10"/>
        <color rgb="FF1F2A2C"/>
        <rFont val="Noto Sans CJK SC"/>
        <family val="2"/>
      </rPr>
      <t xml:space="preserve">영상 기법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제작 방식</t>
    </r>
  </si>
  <si>
    <r>
      <rPr>
        <b val="true"/>
        <sz val="10"/>
        <color rgb="FF1F2A2C"/>
        <rFont val="Noto Sans CJK SC"/>
        <family val="2"/>
      </rPr>
      <t xml:space="preserve">제목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썸네일 기법</t>
    </r>
  </si>
  <si>
    <r>
      <rPr>
        <b val="true"/>
        <sz val="10"/>
        <color rgb="FF1F2A2C"/>
        <rFont val="Noto Sans CJK SC"/>
        <family val="2"/>
      </rPr>
      <t xml:space="preserve">브랜딩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페르소나</t>
    </r>
  </si>
  <si>
    <t xml:space="preserve">리드 전환 시스템</t>
  </si>
  <si>
    <r>
      <rPr>
        <b val="true"/>
        <sz val="10"/>
        <color rgb="FF1F2A2C"/>
        <rFont val="Noto Sans CJK SC"/>
        <family val="2"/>
      </rPr>
      <t xml:space="preserve">회사 구성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조직</t>
    </r>
  </si>
  <si>
    <r>
      <rPr>
        <b val="true"/>
        <sz val="10"/>
        <color rgb="FF1F2A2C"/>
        <rFont val="Noto Sans CJK SC"/>
        <family val="2"/>
      </rPr>
      <t xml:space="preserve">운영 방식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멀티채널 생태계</t>
    </r>
  </si>
  <si>
    <r>
      <rPr>
        <b val="true"/>
        <sz val="10"/>
        <color rgb="FF1F2A2C"/>
        <rFont val="Noto Sans CJK SC"/>
        <family val="2"/>
      </rPr>
      <t xml:space="preserve">합계 </t>
    </r>
    <r>
      <rPr>
        <b val="true"/>
        <sz val="10"/>
        <color rgb="FF1F2A2C"/>
        <rFont val="Arial"/>
        <family val="0"/>
        <charset val="1"/>
      </rPr>
      <t xml:space="preserve">(50</t>
    </r>
    <r>
      <rPr>
        <b val="true"/>
        <sz val="10"/>
        <color rgb="FF1F2A2C"/>
        <rFont val="Noto Sans CJK SC"/>
        <family val="2"/>
      </rPr>
      <t xml:space="preserve">점 만점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</si>
  <si>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평균 </t>
    </r>
    <r>
      <rPr>
        <b val="true"/>
        <sz val="10"/>
        <color rgb="FF1F2A2C"/>
        <rFont val="Arial"/>
        <family val="0"/>
        <charset val="1"/>
      </rPr>
      <t xml:space="preserve">(5</t>
    </r>
    <r>
      <rPr>
        <b val="true"/>
        <sz val="10"/>
        <color rgb="FF1F2A2C"/>
        <rFont val="Noto Sans CJK SC"/>
        <family val="2"/>
      </rPr>
      <t xml:space="preserve">점 만점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</si>
  <si>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달성률 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합계 </t>
    </r>
    <r>
      <rPr>
        <b val="true"/>
        <sz val="10"/>
        <color rgb="FF1F2A2C"/>
        <rFont val="Arial"/>
        <family val="0"/>
        <charset val="1"/>
      </rPr>
      <t xml:space="preserve">÷ 50)</t>
    </r>
  </si>
  <si>
    <r>
      <rPr>
        <sz val="10"/>
        <color rgb="FF6B7775"/>
        <rFont val="Noto Sans CJK SC"/>
        <family val="2"/>
      </rPr>
      <t xml:space="preserve">점수 기준</t>
    </r>
    <r>
      <rPr>
        <sz val="10"/>
        <color rgb="FF6B7775"/>
        <rFont val="Arial"/>
        <family val="0"/>
        <charset val="1"/>
      </rPr>
      <t xml:space="preserve">: 1 = </t>
    </r>
    <r>
      <rPr>
        <sz val="10"/>
        <color rgb="FF6B7775"/>
        <rFont val="Noto Sans CJK SC"/>
        <family val="2"/>
      </rPr>
      <t xml:space="preserve">해당 요소가 없거나 작동하지 않음 </t>
    </r>
    <r>
      <rPr>
        <sz val="10"/>
        <color rgb="FF6B7775"/>
        <rFont val="Arial"/>
        <family val="0"/>
        <charset val="1"/>
      </rPr>
      <t xml:space="preserve">· 2 = </t>
    </r>
    <r>
      <rPr>
        <sz val="10"/>
        <color rgb="FF6B7775"/>
        <rFont val="Noto Sans CJK SC"/>
        <family val="2"/>
      </rPr>
      <t xml:space="preserve">있으나 비체계적 </t>
    </r>
    <r>
      <rPr>
        <sz val="10"/>
        <color rgb="FF6B7775"/>
        <rFont val="Arial"/>
        <family val="0"/>
        <charset val="1"/>
      </rPr>
      <t xml:space="preserve">· 3 = </t>
    </r>
    <r>
      <rPr>
        <sz val="10"/>
        <color rgb="FF6B7775"/>
        <rFont val="Noto Sans CJK SC"/>
        <family val="2"/>
      </rPr>
      <t xml:space="preserve">업계 평균 </t>
    </r>
    <r>
      <rPr>
        <sz val="10"/>
        <color rgb="FF6B7775"/>
        <rFont val="Arial"/>
        <family val="0"/>
        <charset val="1"/>
      </rPr>
      <t xml:space="preserve">· 4 = </t>
    </r>
    <r>
      <rPr>
        <sz val="10"/>
        <color rgb="FF6B7775"/>
        <rFont val="Noto Sans CJK SC"/>
        <family val="2"/>
      </rPr>
      <t xml:space="preserve">상위권 </t>
    </r>
    <r>
      <rPr>
        <sz val="10"/>
        <color rgb="FF6B7775"/>
        <rFont val="Arial"/>
        <family val="0"/>
        <charset val="1"/>
      </rPr>
      <t xml:space="preserve">· 5 = </t>
    </r>
    <r>
      <rPr>
        <sz val="10"/>
        <color rgb="FF6B7775"/>
        <rFont val="Noto Sans CJK SC"/>
        <family val="2"/>
      </rPr>
      <t xml:space="preserve">카테고리 최상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정성 평가이며 </t>
    </r>
    <r>
      <rPr>
        <sz val="10"/>
        <color rgb="FF6B7775"/>
        <rFont val="Arial"/>
        <family val="0"/>
        <charset val="1"/>
      </rPr>
      <t xml:space="preserve">"</t>
    </r>
    <r>
      <rPr>
        <sz val="10"/>
        <color rgb="FF6B7775"/>
        <rFont val="Noto Sans CJK SC"/>
        <family val="2"/>
      </rPr>
      <t xml:space="preserve">채널지표</t>
    </r>
    <r>
      <rPr>
        <sz val="10"/>
        <color rgb="FF6B7775"/>
        <rFont val="Arial"/>
        <family val="0"/>
        <charset val="1"/>
      </rPr>
      <t xml:space="preserve">"·"</t>
    </r>
    <r>
      <rPr>
        <sz val="10"/>
        <color rgb="FF6B7775"/>
        <rFont val="Noto Sans CJK SC"/>
        <family val="2"/>
      </rPr>
      <t xml:space="preserve">제목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썸네일 기법</t>
    </r>
    <r>
      <rPr>
        <sz val="10"/>
        <color rgb="FF6B7775"/>
        <rFont val="Arial"/>
        <family val="0"/>
        <charset val="1"/>
      </rPr>
      <t xml:space="preserve">" </t>
    </r>
    <r>
      <rPr>
        <sz val="10"/>
        <color rgb="FF6B7775"/>
        <rFont val="Noto Sans CJK SC"/>
        <family val="2"/>
      </rPr>
      <t xml:space="preserve">시트의 수치를 근거로 함</t>
    </r>
    <r>
      <rPr>
        <sz val="10"/>
        <color rgb="FF6B7775"/>
        <rFont val="Arial"/>
        <family val="0"/>
        <charset val="1"/>
      </rPr>
      <t xml:space="preserve">.</t>
    </r>
  </si>
  <si>
    <r>
      <rPr>
        <b val="true"/>
        <sz val="16"/>
        <color rgb="FF1F2A2C"/>
        <rFont val="Arial"/>
        <family val="0"/>
        <charset val="1"/>
      </rPr>
      <t xml:space="preserve">10</t>
    </r>
    <r>
      <rPr>
        <b val="true"/>
        <sz val="16"/>
        <color rgb="FF1F2A2C"/>
        <rFont val="Noto Sans CJK SC"/>
        <family val="2"/>
      </rPr>
      <t xml:space="preserve">대 항목 정성 비교</t>
    </r>
  </si>
  <si>
    <r>
      <rPr>
        <sz val="10"/>
        <color rgb="FF6B7775"/>
        <rFont val="Noto Sans CJK SC"/>
        <family val="2"/>
      </rPr>
      <t xml:space="preserve">각 셀은 채널별 현황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마지막 열은 공간이엔지에 필요한 것</t>
    </r>
    <r>
      <rPr>
        <sz val="10"/>
        <color rgb="FF6B7775"/>
        <rFont val="Arial"/>
        <family val="0"/>
        <charset val="1"/>
      </rPr>
      <t xml:space="preserve">.</t>
    </r>
  </si>
  <si>
    <t xml:space="preserve">항목</t>
  </si>
  <si>
    <t xml:space="preserve">비교 기준</t>
  </si>
  <si>
    <t xml:space="preserve">공간이엔지에 필요한 것</t>
  </si>
  <si>
    <r>
      <rPr>
        <sz val="10"/>
        <color rgb="FF1F2A2C"/>
        <rFont val="Noto Sans CJK SC"/>
        <family val="2"/>
      </rPr>
      <t xml:space="preserve">구독자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누적 조회수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영상당 평균 조회수</t>
    </r>
  </si>
  <si>
    <r>
      <rPr>
        <sz val="10"/>
        <color rgb="FF1F2A2C"/>
        <rFont val="Noto Sans CJK SC"/>
        <family val="2"/>
      </rPr>
      <t xml:space="preserve">구독 </t>
    </r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누적 </t>
    </r>
    <r>
      <rPr>
        <sz val="10"/>
        <color rgb="FF1F2A2C"/>
        <rFont val="Arial"/>
        <family val="0"/>
        <charset val="1"/>
      </rPr>
      <t xml:space="preserve">5,640</t>
    </r>
    <r>
      <rPr>
        <sz val="10"/>
        <color rgb="FF1F2A2C"/>
        <rFont val="Noto Sans CJK SC"/>
        <family val="2"/>
      </rPr>
      <t xml:space="preserve">만회</t>
    </r>
    <r>
      <rPr>
        <sz val="10"/>
        <color rgb="FF1F2A2C"/>
        <rFont val="Arial"/>
        <family val="0"/>
        <charset val="1"/>
      </rPr>
      <t xml:space="preserve">. 1,013</t>
    </r>
    <r>
      <rPr>
        <sz val="10"/>
        <color rgb="FF1F2A2C"/>
        <rFont val="Noto Sans CJK SC"/>
        <family val="2"/>
      </rPr>
      <t xml:space="preserve">편으로 물량과 조회를 동시에 확보한 카테고리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위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</si>
  <si>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구독 </t>
    </r>
    <r>
      <rPr>
        <sz val="10"/>
        <color rgb="FF1F2A2C"/>
        <rFont val="Arial"/>
        <family val="0"/>
        <charset val="1"/>
      </rPr>
      <t xml:space="preserve">29.6</t>
    </r>
    <r>
      <rPr>
        <sz val="10"/>
        <color rgb="FF1F2A2C"/>
        <rFont val="Noto Sans CJK SC"/>
        <family val="2"/>
      </rPr>
      <t xml:space="preserve">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누적 </t>
    </r>
    <r>
      <rPr>
        <sz val="10"/>
        <color rgb="FF1F2A2C"/>
        <rFont val="Arial"/>
        <family val="0"/>
        <charset val="1"/>
      </rPr>
      <t xml:space="preserve">4,843</t>
    </r>
    <r>
      <rPr>
        <sz val="10"/>
        <color rgb="FF1F2A2C"/>
        <rFont val="Noto Sans CJK SC"/>
        <family val="2"/>
      </rPr>
      <t xml:space="preserve">만회를 단 </t>
    </r>
    <r>
      <rPr>
        <sz val="10"/>
        <color rgb="FF1F2A2C"/>
        <rFont val="Arial"/>
        <family val="0"/>
        <charset val="1"/>
      </rPr>
      <t xml:space="preserve">141</t>
    </r>
    <r>
      <rPr>
        <sz val="10"/>
        <color rgb="FF1F2A2C"/>
        <rFont val="Noto Sans CJK SC"/>
        <family val="2"/>
      </rPr>
      <t xml:space="preserve">편으로 달성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영상당 </t>
    </r>
    <r>
      <rPr>
        <sz val="10"/>
        <color rgb="FF1F2A2C"/>
        <rFont val="Arial"/>
        <family val="0"/>
        <charset val="1"/>
      </rPr>
      <t xml:space="preserve">34</t>
    </r>
    <r>
      <rPr>
        <sz val="10"/>
        <color rgb="FF1F2A2C"/>
        <rFont val="Noto Sans CJK SC"/>
        <family val="2"/>
      </rPr>
      <t xml:space="preserve">만회로 효율 압도적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위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</si>
  <si>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구독 </t>
    </r>
    <r>
      <rPr>
        <sz val="10"/>
        <color rgb="FF1F2A2C"/>
        <rFont val="Arial"/>
        <family val="0"/>
        <charset val="1"/>
      </rPr>
      <t xml:space="preserve">6.8</t>
    </r>
    <r>
      <rPr>
        <sz val="10"/>
        <color rgb="FF1F2A2C"/>
        <rFont val="Noto Sans CJK SC"/>
        <family val="2"/>
      </rPr>
      <t xml:space="preserve">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누적 </t>
    </r>
    <r>
      <rPr>
        <sz val="10"/>
        <color rgb="FF1F2A2C"/>
        <rFont val="Arial"/>
        <family val="0"/>
        <charset val="1"/>
      </rPr>
      <t xml:space="preserve">2,800</t>
    </r>
    <r>
      <rPr>
        <sz val="10"/>
        <color rgb="FF1F2A2C"/>
        <rFont val="Noto Sans CJK SC"/>
        <family val="2"/>
      </rPr>
      <t xml:space="preserve">만회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최고 조회 </t>
    </r>
    <r>
      <rPr>
        <sz val="10"/>
        <color rgb="FF1F2A2C"/>
        <rFont val="Arial"/>
        <family val="0"/>
        <charset val="1"/>
      </rPr>
      <t xml:space="preserve">321</t>
    </r>
    <r>
      <rPr>
        <sz val="10"/>
        <color rgb="FF1F2A2C"/>
        <rFont val="Noto Sans CJK SC"/>
        <family val="2"/>
      </rPr>
      <t xml:space="preserve">만회</t>
    </r>
    <r>
      <rPr>
        <sz val="10"/>
        <color rgb="FF1F2A2C"/>
        <rFont val="Arial"/>
        <family val="0"/>
        <charset val="1"/>
      </rPr>
      <t xml:space="preserve">(32</t>
    </r>
    <r>
      <rPr>
        <sz val="10"/>
        <color rgb="FF1F2A2C"/>
        <rFont val="Noto Sans CJK SC"/>
        <family val="2"/>
      </rPr>
      <t xml:space="preserve">평 국민평형</t>
    </r>
    <r>
      <rPr>
        <sz val="10"/>
        <color rgb="FF1F2A2C"/>
        <rFont val="Arial"/>
        <family val="0"/>
        <charset val="1"/>
      </rPr>
      <t xml:space="preserve">) </t>
    </r>
    <r>
      <rPr>
        <sz val="10"/>
        <color rgb="FF1F2A2C"/>
        <rFont val="Noto Sans CJK SC"/>
        <family val="2"/>
      </rPr>
      <t xml:space="preserve">한 편이 채널을 견인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</si>
  <si>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구독 </t>
    </r>
    <r>
      <rPr>
        <sz val="10"/>
        <color rgb="FF1F2A2C"/>
        <rFont val="Arial"/>
        <family val="0"/>
        <charset val="1"/>
      </rPr>
      <t xml:space="preserve">3.8</t>
    </r>
    <r>
      <rPr>
        <sz val="10"/>
        <color rgb="FF1F2A2C"/>
        <rFont val="Noto Sans CJK SC"/>
        <family val="2"/>
      </rPr>
      <t xml:space="preserve">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누적 </t>
    </r>
    <r>
      <rPr>
        <sz val="10"/>
        <color rgb="FF1F2A2C"/>
        <rFont val="Arial"/>
        <family val="0"/>
        <charset val="1"/>
      </rPr>
      <t xml:space="preserve">858</t>
    </r>
    <r>
      <rPr>
        <sz val="10"/>
        <color rgb="FF1F2A2C"/>
        <rFont val="Noto Sans CJK SC"/>
        <family val="2"/>
      </rPr>
      <t xml:space="preserve">만회</t>
    </r>
    <r>
      <rPr>
        <sz val="10"/>
        <color rgb="FF1F2A2C"/>
        <rFont val="Arial"/>
        <family val="0"/>
        <charset val="1"/>
      </rPr>
      <t xml:space="preserve">. 763</t>
    </r>
    <r>
      <rPr>
        <sz val="10"/>
        <color rgb="FF1F2A2C"/>
        <rFont val="Noto Sans CJK SC"/>
        <family val="2"/>
      </rPr>
      <t xml:space="preserve">편 대비 영상당 </t>
    </r>
    <r>
      <rPr>
        <sz val="10"/>
        <color rgb="FF1F2A2C"/>
        <rFont val="Arial"/>
        <family val="0"/>
        <charset val="1"/>
      </rPr>
      <t xml:space="preserve">1.1</t>
    </r>
    <r>
      <rPr>
        <sz val="10"/>
        <color rgb="FF1F2A2C"/>
        <rFont val="Noto Sans CJK SC"/>
        <family val="2"/>
      </rPr>
      <t xml:space="preserve">만회로 물량형 채널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</si>
  <si>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구독 </t>
    </r>
    <r>
      <rPr>
        <b val="true"/>
        <sz val="10"/>
        <color rgb="FFB5541E"/>
        <rFont val="Arial"/>
        <family val="0"/>
        <charset val="1"/>
      </rPr>
      <t xml:space="preserve">216·</t>
    </r>
    <r>
      <rPr>
        <b val="true"/>
        <sz val="10"/>
        <color rgb="FFB5541E"/>
        <rFont val="Noto Sans CJK SC"/>
        <family val="2"/>
      </rPr>
      <t xml:space="preserve">누적 </t>
    </r>
    <r>
      <rPr>
        <b val="true"/>
        <sz val="10"/>
        <color rgb="FFB5541E"/>
        <rFont val="Arial"/>
        <family val="0"/>
        <charset val="1"/>
      </rPr>
      <t xml:space="preserve">9</t>
    </r>
    <r>
      <rPr>
        <b val="true"/>
        <sz val="10"/>
        <color rgb="FFB5541E"/>
        <rFont val="Noto Sans CJK SC"/>
        <family val="2"/>
      </rPr>
      <t xml:space="preserve">만회</t>
    </r>
    <r>
      <rPr>
        <b val="true"/>
        <sz val="10"/>
        <color rgb="FFB5541E"/>
        <rFont val="Arial"/>
        <family val="0"/>
        <charset val="1"/>
      </rPr>
      <t xml:space="preserve">. 81</t>
    </r>
    <r>
      <rPr>
        <b val="true"/>
        <sz val="10"/>
        <color rgb="FFB5541E"/>
        <rFont val="Noto Sans CJK SC"/>
        <family val="2"/>
      </rPr>
      <t xml:space="preserve">편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영상당 </t>
    </r>
    <r>
      <rPr>
        <b val="true"/>
        <sz val="10"/>
        <color rgb="FFB5541E"/>
        <rFont val="Arial"/>
        <family val="0"/>
        <charset val="1"/>
      </rPr>
      <t xml:space="preserve">1,105</t>
    </r>
    <r>
      <rPr>
        <b val="true"/>
        <sz val="10"/>
        <color rgb="FFB5541E"/>
        <rFont val="Noto Sans CJK SC"/>
        <family val="2"/>
      </rPr>
      <t xml:space="preserve">회</t>
    </r>
    <r>
      <rPr>
        <b val="true"/>
        <sz val="10"/>
        <color rgb="FFB5541E"/>
        <rFont val="Arial"/>
        <family val="0"/>
        <charset val="1"/>
      </rPr>
      <t xml:space="preserve">. </t>
    </r>
    <r>
      <rPr>
        <b val="true"/>
        <sz val="10"/>
        <color rgb="FFB5541E"/>
        <rFont val="Noto Sans CJK SC"/>
        <family val="2"/>
      </rPr>
      <t xml:space="preserve">검색 유입 위주로 구독 전환이 거의 없음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</si>
  <si>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구독 전환이 되는 </t>
    </r>
    <r>
      <rPr>
        <b val="true"/>
        <sz val="10"/>
        <color rgb="FF1F2A2C"/>
        <rFont val="Arial"/>
        <family val="0"/>
        <charset val="1"/>
      </rPr>
      <t xml:space="preserve">"</t>
    </r>
    <r>
      <rPr>
        <b val="true"/>
        <sz val="10"/>
        <color rgb="FF1F2A2C"/>
        <rFont val="Noto Sans CJK SC"/>
        <family val="2"/>
      </rPr>
      <t xml:space="preserve">채널의 얼굴</t>
    </r>
    <r>
      <rPr>
        <b val="true"/>
        <sz val="10"/>
        <color rgb="FF1F2A2C"/>
        <rFont val="Arial"/>
        <family val="0"/>
        <charset val="1"/>
      </rPr>
      <t xml:space="preserve">"</t>
    </r>
    <r>
      <rPr>
        <b val="true"/>
        <sz val="10"/>
        <color rgb="FF1F2A2C"/>
        <rFont val="Noto Sans CJK SC"/>
        <family val="2"/>
      </rPr>
      <t xml:space="preserve">과 시리즈 구조가 없다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영상당 조회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천회대에서 벗어나려면 롱폼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편의 완성도부터 올려야 한다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</si>
  <si>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롱폼 중간 길이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쇼츠 비중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라이브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재생목록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게시물 활용</t>
    </r>
  </si>
  <si>
    <r>
      <rPr>
        <sz val="10"/>
        <color rgb="FF1F2A2C"/>
        <rFont val="Noto Sans CJK SC"/>
        <family val="2"/>
      </rPr>
      <t xml:space="preserve">중간 </t>
    </r>
    <r>
      <rPr>
        <sz val="10"/>
        <color rgb="FF1F2A2C"/>
        <rFont val="Arial"/>
        <family val="0"/>
        <charset val="1"/>
      </rPr>
      <t xml:space="preserve">15.8</t>
    </r>
    <r>
      <rPr>
        <sz val="10"/>
        <color rgb="FF1F2A2C"/>
        <rFont val="Noto Sans CJK SC"/>
        <family val="2"/>
      </rPr>
      <t xml:space="preserve">분 롱폼</t>
    </r>
    <r>
      <rPr>
        <sz val="10"/>
        <color rgb="FF1F2A2C"/>
        <rFont val="Arial"/>
        <family val="0"/>
        <charset val="1"/>
      </rPr>
      <t xml:space="preserve">(10~20</t>
    </r>
    <r>
      <rPr>
        <sz val="10"/>
        <color rgb="FF1F2A2C"/>
        <rFont val="Noto Sans CJK SC"/>
        <family val="2"/>
      </rPr>
      <t xml:space="preserve">분 </t>
    </r>
    <r>
      <rPr>
        <sz val="10"/>
        <color rgb="FF1F2A2C"/>
        <rFont val="Arial"/>
        <family val="0"/>
        <charset val="1"/>
      </rPr>
      <t xml:space="preserve">57%) + </t>
    </r>
    <r>
      <rPr>
        <sz val="10"/>
        <color rgb="FF1F2A2C"/>
        <rFont val="Noto Sans CJK SC"/>
        <family val="2"/>
      </rPr>
      <t xml:space="preserve">쇼츠 </t>
    </r>
    <r>
      <rPr>
        <sz val="10"/>
        <color rgb="FF1F2A2C"/>
        <rFont val="Arial"/>
        <family val="0"/>
        <charset val="1"/>
      </rPr>
      <t xml:space="preserve">48</t>
    </r>
    <r>
      <rPr>
        <sz val="10"/>
        <color rgb="FF1F2A2C"/>
        <rFont val="Noto Sans CJK SC"/>
        <family val="2"/>
      </rPr>
      <t xml:space="preserve">편 이상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재생목록을 평형별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솔루션별로 큐레이션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</si>
  <si>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중간 </t>
    </r>
    <r>
      <rPr>
        <sz val="10"/>
        <color rgb="FF1F2A2C"/>
        <rFont val="Arial"/>
        <family val="0"/>
        <charset val="1"/>
      </rPr>
      <t xml:space="preserve">22.2</t>
    </r>
    <r>
      <rPr>
        <sz val="10"/>
        <color rgb="FF1F2A2C"/>
        <rFont val="Noto Sans CJK SC"/>
        <family val="2"/>
      </rPr>
      <t xml:space="preserve">분</t>
    </r>
    <r>
      <rPr>
        <sz val="10"/>
        <color rgb="FF1F2A2C"/>
        <rFont val="Arial"/>
        <family val="0"/>
        <charset val="1"/>
      </rPr>
      <t xml:space="preserve">, 20</t>
    </r>
    <r>
      <rPr>
        <sz val="10"/>
        <color rgb="FF1F2A2C"/>
        <rFont val="Noto Sans CJK SC"/>
        <family val="2"/>
      </rPr>
      <t xml:space="preserve">분 이상이 </t>
    </r>
    <r>
      <rPr>
        <sz val="10"/>
        <color rgb="FF1F2A2C"/>
        <rFont val="Arial"/>
        <family val="0"/>
        <charset val="1"/>
      </rPr>
      <t xml:space="preserve">64%</t>
    </r>
    <r>
      <rPr>
        <sz val="10"/>
        <color rgb="FF1F2A2C"/>
        <rFont val="Noto Sans CJK SC"/>
        <family val="2"/>
      </rPr>
      <t xml:space="preserve">로 가장 긴 토크형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쇼츠는 </t>
    </r>
    <r>
      <rPr>
        <sz val="10"/>
        <color rgb="FF1F2A2C"/>
        <rFont val="Arial"/>
        <family val="0"/>
        <charset val="1"/>
      </rPr>
      <t xml:space="preserve">4</t>
    </r>
    <r>
      <rPr>
        <sz val="10"/>
        <color rgb="FF1F2A2C"/>
        <rFont val="Noto Sans CJK SC"/>
        <family val="2"/>
      </rPr>
      <t xml:space="preserve">편뿐이지만 최고 </t>
    </r>
    <r>
      <rPr>
        <sz val="10"/>
        <color rgb="FF1F2A2C"/>
        <rFont val="Arial"/>
        <family val="0"/>
        <charset val="1"/>
      </rPr>
      <t xml:space="preserve">241</t>
    </r>
    <r>
      <rPr>
        <sz val="10"/>
        <color rgb="FF1F2A2C"/>
        <rFont val="Noto Sans CJK SC"/>
        <family val="2"/>
      </rPr>
      <t xml:space="preserve">만회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</si>
  <si>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중간 </t>
    </r>
    <r>
      <rPr>
        <sz val="10"/>
        <color rgb="FF1F2A2C"/>
        <rFont val="Arial"/>
        <family val="0"/>
        <charset val="1"/>
      </rPr>
      <t xml:space="preserve">10.7</t>
    </r>
    <r>
      <rPr>
        <sz val="10"/>
        <color rgb="FF1F2A2C"/>
        <rFont val="Noto Sans CJK SC"/>
        <family val="2"/>
      </rPr>
      <t xml:space="preserve">분 리뷰형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쇼츠 </t>
    </r>
    <r>
      <rPr>
        <sz val="10"/>
        <color rgb="FF1F2A2C"/>
        <rFont val="Arial"/>
        <family val="0"/>
        <charset val="1"/>
      </rPr>
      <t xml:space="preserve">48</t>
    </r>
    <r>
      <rPr>
        <sz val="10"/>
        <color rgb="FF1F2A2C"/>
        <rFont val="Noto Sans CJK SC"/>
        <family val="2"/>
      </rPr>
      <t xml:space="preserve">편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유일하게 라이브 탭 운영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게시물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재생목록 모두 활용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</si>
  <si>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분 미만 시네마틱 클립 </t>
    </r>
    <r>
      <rPr>
        <sz val="10"/>
        <color rgb="FF1F2A2C"/>
        <rFont val="Arial"/>
        <family val="0"/>
        <charset val="1"/>
      </rPr>
      <t xml:space="preserve">45% + 10</t>
    </r>
    <r>
      <rPr>
        <sz val="10"/>
        <color rgb="FF1F2A2C"/>
        <rFont val="Noto Sans CJK SC"/>
        <family val="2"/>
      </rPr>
      <t xml:space="preserve">분대 리뷰 </t>
    </r>
    <r>
      <rPr>
        <sz val="10"/>
        <color rgb="FF1F2A2C"/>
        <rFont val="Arial"/>
        <family val="0"/>
        <charset val="1"/>
      </rPr>
      <t xml:space="preserve">41%</t>
    </r>
    <r>
      <rPr>
        <sz val="10"/>
        <color rgb="FF1F2A2C"/>
        <rFont val="Noto Sans CJK SC"/>
        <family val="2"/>
      </rPr>
      <t xml:space="preserve">의 </t>
    </r>
    <r>
      <rPr>
        <sz val="10"/>
        <color rgb="FF1F2A2C"/>
        <rFont val="Arial"/>
        <family val="0"/>
        <charset val="1"/>
      </rPr>
      <t xml:space="preserve">2</t>
    </r>
    <r>
      <rPr>
        <sz val="10"/>
        <color rgb="FF1F2A2C"/>
        <rFont val="Noto Sans CJK SC"/>
        <family val="2"/>
      </rPr>
      <t xml:space="preserve">트랙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쇼츠 </t>
    </r>
    <r>
      <rPr>
        <sz val="10"/>
        <color rgb="FF1F2A2C"/>
        <rFont val="Arial"/>
        <family val="0"/>
        <charset val="1"/>
      </rPr>
      <t xml:space="preserve">48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</si>
  <si>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중간 </t>
    </r>
    <r>
      <rPr>
        <b val="true"/>
        <sz val="10"/>
        <color rgb="FFB5541E"/>
        <rFont val="Arial"/>
        <family val="0"/>
        <charset val="1"/>
      </rPr>
      <t xml:space="preserve">1.6</t>
    </r>
    <r>
      <rPr>
        <b val="true"/>
        <sz val="10"/>
        <color rgb="FFB5541E"/>
        <rFont val="Noto Sans CJK SC"/>
        <family val="2"/>
      </rPr>
      <t xml:space="preserve">분</t>
    </r>
    <r>
      <rPr>
        <b val="true"/>
        <sz val="10"/>
        <color rgb="FFB5541E"/>
        <rFont val="Arial"/>
        <family val="0"/>
        <charset val="1"/>
      </rPr>
      <t xml:space="preserve">, 72%</t>
    </r>
    <r>
      <rPr>
        <b val="true"/>
        <sz val="10"/>
        <color rgb="FFB5541E"/>
        <rFont val="Noto Sans CJK SC"/>
        <family val="2"/>
      </rPr>
      <t xml:space="preserve">가 </t>
    </r>
    <r>
      <rPr>
        <b val="true"/>
        <sz val="10"/>
        <color rgb="FFB5541E"/>
        <rFont val="Arial"/>
        <family val="0"/>
        <charset val="1"/>
      </rPr>
      <t xml:space="preserve">3</t>
    </r>
    <r>
      <rPr>
        <b val="true"/>
        <sz val="10"/>
        <color rgb="FFB5541E"/>
        <rFont val="Noto Sans CJK SC"/>
        <family val="2"/>
      </rPr>
      <t xml:space="preserve">분 미만 현장 스케치</t>
    </r>
    <r>
      <rPr>
        <b val="true"/>
        <sz val="10"/>
        <color rgb="FFB5541E"/>
        <rFont val="Arial"/>
        <family val="0"/>
        <charset val="1"/>
      </rPr>
      <t xml:space="preserve">. 10</t>
    </r>
    <r>
      <rPr>
        <b val="true"/>
        <sz val="10"/>
        <color rgb="FFB5541E"/>
        <rFont val="Noto Sans CJK SC"/>
        <family val="2"/>
      </rPr>
      <t xml:space="preserve">분 이상 롱폼 </t>
    </r>
    <r>
      <rPr>
        <b val="true"/>
        <sz val="10"/>
        <color rgb="FFB5541E"/>
        <rFont val="Arial"/>
        <family val="0"/>
        <charset val="1"/>
      </rPr>
      <t xml:space="preserve">0</t>
    </r>
    <r>
      <rPr>
        <b val="true"/>
        <sz val="10"/>
        <color rgb="FFB5541E"/>
        <rFont val="Noto Sans CJK SC"/>
        <family val="2"/>
      </rPr>
      <t xml:space="preserve">편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쇼츠 </t>
    </r>
    <r>
      <rPr>
        <b val="true"/>
        <sz val="10"/>
        <color rgb="FFB5541E"/>
        <rFont val="Arial"/>
        <family val="0"/>
        <charset val="1"/>
      </rPr>
      <t xml:space="preserve">6</t>
    </r>
    <r>
      <rPr>
        <b val="true"/>
        <sz val="10"/>
        <color rgb="FFB5541E"/>
        <rFont val="Noto Sans CJK SC"/>
        <family val="2"/>
      </rPr>
      <t xml:space="preserve">편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재생목록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게시물 탭 없음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</si>
  <si>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Arial"/>
        <family val="0"/>
        <charset val="1"/>
      </rPr>
      <t xml:space="preserve">10~15</t>
    </r>
    <r>
      <rPr>
        <b val="true"/>
        <sz val="10"/>
        <color rgb="FF1F2A2C"/>
        <rFont val="Noto Sans CJK SC"/>
        <family val="2"/>
      </rPr>
      <t xml:space="preserve">분 롱폼 트랙 신설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월 </t>
    </r>
    <r>
      <rPr>
        <b val="true"/>
        <sz val="10"/>
        <color rgb="FF1F2A2C"/>
        <rFont val="Arial"/>
        <family val="0"/>
        <charset val="1"/>
      </rPr>
      <t xml:space="preserve">2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), </t>
    </r>
    <r>
      <rPr>
        <b val="true"/>
        <sz val="10"/>
        <color rgb="FF1F2A2C"/>
        <rFont val="Noto Sans CJK SC"/>
        <family val="2"/>
      </rPr>
      <t xml:space="preserve">쇼츠는 롱폼에서 잘라내는 방식으로 주 </t>
    </r>
    <r>
      <rPr>
        <b val="true"/>
        <sz val="10"/>
        <color rgb="FF1F2A2C"/>
        <rFont val="Arial"/>
        <family val="0"/>
        <charset val="1"/>
      </rPr>
      <t xml:space="preserve">2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, </t>
    </r>
    <r>
      <rPr>
        <b val="true"/>
        <sz val="10"/>
        <color rgb="FF1F2A2C"/>
        <rFont val="Noto Sans CJK SC"/>
        <family val="2"/>
      </rPr>
      <t xml:space="preserve">재생목록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평형별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단지별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자재별</t>
    </r>
    <r>
      <rPr>
        <b val="true"/>
        <sz val="10"/>
        <color rgb="FF1F2A2C"/>
        <rFont val="Arial"/>
        <family val="0"/>
        <charset val="1"/>
      </rPr>
      <t xml:space="preserve">) </t>
    </r>
    <r>
      <rPr>
        <b val="true"/>
        <sz val="10"/>
        <color rgb="FF1F2A2C"/>
        <rFont val="Noto Sans CJK SC"/>
        <family val="2"/>
      </rPr>
      <t xml:space="preserve">개설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</si>
  <si>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최근 </t>
    </r>
    <r>
      <rPr>
        <sz val="10"/>
        <color rgb="FF1F2A2C"/>
        <rFont val="Arial"/>
        <family val="0"/>
        <charset val="1"/>
      </rPr>
      <t xml:space="preserve">30·90·365</t>
    </r>
    <r>
      <rPr>
        <sz val="10"/>
        <color rgb="FF1F2A2C"/>
        <rFont val="Noto Sans CJK SC"/>
        <family val="2"/>
      </rPr>
      <t xml:space="preserve">일 업로드 수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채널 운영 기간</t>
    </r>
  </si>
  <si>
    <r>
      <rPr>
        <sz val="10"/>
        <color rgb="FF1F2A2C"/>
        <rFont val="Noto Sans CJK SC"/>
        <family val="2"/>
      </rPr>
      <t xml:space="preserve">연 </t>
    </r>
    <r>
      <rPr>
        <sz val="10"/>
        <color rgb="FF1F2A2C"/>
        <rFont val="Arial"/>
        <family val="0"/>
        <charset val="1"/>
      </rPr>
      <t xml:space="preserve">63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주 </t>
    </r>
    <r>
      <rPr>
        <sz val="10"/>
        <color rgb="FF1F2A2C"/>
        <rFont val="Arial"/>
        <family val="0"/>
        <charset val="1"/>
      </rPr>
      <t xml:space="preserve">1.2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최근 </t>
    </r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일 </t>
    </r>
    <r>
      <rPr>
        <sz val="10"/>
        <color rgb="FF1F2A2C"/>
        <rFont val="Arial"/>
        <family val="0"/>
        <charset val="1"/>
      </rPr>
      <t xml:space="preserve">7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. 2019</t>
    </r>
    <r>
      <rPr>
        <sz val="10"/>
        <color rgb="FF1F2A2C"/>
        <rFont val="Noto Sans CJK SC"/>
        <family val="2"/>
      </rPr>
      <t xml:space="preserve">년부터 </t>
    </r>
    <r>
      <rPr>
        <sz val="10"/>
        <color rgb="FF1F2A2C"/>
        <rFont val="Arial"/>
        <family val="0"/>
        <charset val="1"/>
      </rPr>
      <t xml:space="preserve">6</t>
    </r>
    <r>
      <rPr>
        <sz val="10"/>
        <color rgb="FF1F2A2C"/>
        <rFont val="Noto Sans CJK SC"/>
        <family val="2"/>
      </rPr>
      <t xml:space="preserve">년 이상 꾸준함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</si>
  <si>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연 </t>
    </r>
    <r>
      <rPr>
        <sz val="10"/>
        <color rgb="FF1F2A2C"/>
        <rFont val="Arial"/>
        <family val="0"/>
        <charset val="1"/>
      </rPr>
      <t xml:space="preserve">61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최근 </t>
    </r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일 </t>
    </r>
    <r>
      <rPr>
        <sz val="10"/>
        <color rgb="FF1F2A2C"/>
        <rFont val="Arial"/>
        <family val="0"/>
        <charset val="1"/>
      </rPr>
      <t xml:space="preserve">4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주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편 고정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성수기 집중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</si>
  <si>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연 </t>
    </r>
    <r>
      <rPr>
        <sz val="10"/>
        <color rgb="FF1F2A2C"/>
        <rFont val="Arial"/>
        <family val="0"/>
        <charset val="1"/>
      </rPr>
      <t xml:space="preserve">93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주 </t>
    </r>
    <r>
      <rPr>
        <sz val="10"/>
        <color rgb="FF1F2A2C"/>
        <rFont val="Arial"/>
        <family val="0"/>
        <charset val="1"/>
      </rPr>
      <t xml:space="preserve">1.8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최근 </t>
    </r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일 </t>
    </r>
    <r>
      <rPr>
        <sz val="10"/>
        <color rgb="FF1F2A2C"/>
        <rFont val="Arial"/>
        <family val="0"/>
        <charset val="1"/>
      </rPr>
      <t xml:space="preserve">8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. 5</t>
    </r>
    <r>
      <rPr>
        <sz val="10"/>
        <color rgb="FF1F2A2C"/>
        <rFont val="Noto Sans CJK SC"/>
        <family val="2"/>
      </rPr>
      <t xml:space="preserve">개 채널 중 가장 촘촘한 발행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</si>
  <si>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연 </t>
    </r>
    <r>
      <rPr>
        <sz val="10"/>
        <color rgb="FF1F2A2C"/>
        <rFont val="Arial"/>
        <family val="0"/>
        <charset val="1"/>
      </rPr>
      <t xml:space="preserve">92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최근 </t>
    </r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일 </t>
    </r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클립 위주로 물량은 많으나 최근 리듬이 느슨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</si>
  <si>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연 </t>
    </r>
    <r>
      <rPr>
        <b val="true"/>
        <sz val="10"/>
        <color rgb="FFB5541E"/>
        <rFont val="Arial"/>
        <family val="0"/>
        <charset val="1"/>
      </rPr>
      <t xml:space="preserve">49</t>
    </r>
    <r>
      <rPr>
        <b val="true"/>
        <sz val="10"/>
        <color rgb="FFB5541E"/>
        <rFont val="Noto Sans CJK SC"/>
        <family val="2"/>
      </rPr>
      <t xml:space="preserve">편이지만 최근 </t>
    </r>
    <r>
      <rPr>
        <b val="true"/>
        <sz val="10"/>
        <color rgb="FFB5541E"/>
        <rFont val="Arial"/>
        <family val="0"/>
        <charset val="1"/>
      </rPr>
      <t xml:space="preserve">90</t>
    </r>
    <r>
      <rPr>
        <b val="true"/>
        <sz val="10"/>
        <color rgb="FFB5541E"/>
        <rFont val="Noto Sans CJK SC"/>
        <family val="2"/>
      </rPr>
      <t xml:space="preserve">일 </t>
    </r>
    <r>
      <rPr>
        <b val="true"/>
        <sz val="10"/>
        <color rgb="FFB5541E"/>
        <rFont val="Arial"/>
        <family val="0"/>
        <charset val="1"/>
      </rPr>
      <t xml:space="preserve">4</t>
    </r>
    <r>
      <rPr>
        <b val="true"/>
        <sz val="10"/>
        <color rgb="FFB5541E"/>
        <rFont val="Noto Sans CJK SC"/>
        <family val="2"/>
      </rPr>
      <t xml:space="preserve">편으로 급감</t>
    </r>
    <r>
      <rPr>
        <b val="true"/>
        <sz val="10"/>
        <color rgb="FFB5541E"/>
        <rFont val="Arial"/>
        <family val="0"/>
        <charset val="1"/>
      </rPr>
      <t xml:space="preserve">. 2024</t>
    </r>
    <r>
      <rPr>
        <b val="true"/>
        <sz val="10"/>
        <color rgb="FFB5541E"/>
        <rFont val="Noto Sans CJK SC"/>
        <family val="2"/>
      </rPr>
      <t xml:space="preserve">년 초 개설 후 초반 몰아치기 → 정체 패턴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</si>
  <si>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블로그처럼 유튜브도 고정 요일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예</t>
    </r>
    <r>
      <rPr>
        <b val="true"/>
        <sz val="10"/>
        <color rgb="FF1F2A2C"/>
        <rFont val="Arial"/>
        <family val="0"/>
        <charset val="1"/>
      </rPr>
      <t xml:space="preserve">: </t>
    </r>
    <r>
      <rPr>
        <b val="true"/>
        <sz val="10"/>
        <color rgb="FF1F2A2C"/>
        <rFont val="Noto Sans CJK SC"/>
        <family val="2"/>
      </rPr>
      <t xml:space="preserve">화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금</t>
    </r>
    <r>
      <rPr>
        <b val="true"/>
        <sz val="10"/>
        <color rgb="FF1F2A2C"/>
        <rFont val="Arial"/>
        <family val="0"/>
        <charset val="1"/>
      </rPr>
      <t xml:space="preserve">)</t>
    </r>
    <r>
      <rPr>
        <b val="true"/>
        <sz val="10"/>
        <color rgb="FF1F2A2C"/>
        <rFont val="Noto Sans CJK SC"/>
        <family val="2"/>
      </rPr>
      <t xml:space="preserve">로 편성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현장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건당 </t>
    </r>
    <r>
      <rPr>
        <b val="true"/>
        <sz val="10"/>
        <color rgb="FF1F2A2C"/>
        <rFont val="Arial"/>
        <family val="0"/>
        <charset val="1"/>
      </rPr>
      <t xml:space="preserve">"</t>
    </r>
    <r>
      <rPr>
        <b val="true"/>
        <sz val="10"/>
        <color rgb="FF1F2A2C"/>
        <rFont val="Noto Sans CJK SC"/>
        <family val="2"/>
      </rPr>
      <t xml:space="preserve">쇼츠 </t>
    </r>
    <r>
      <rPr>
        <b val="true"/>
        <sz val="10"/>
        <color rgb="FF1F2A2C"/>
        <rFont val="Arial"/>
        <family val="0"/>
        <charset val="1"/>
      </rPr>
      <t xml:space="preserve">3 + </t>
    </r>
    <r>
      <rPr>
        <b val="true"/>
        <sz val="10"/>
        <color rgb="FF1F2A2C"/>
        <rFont val="Noto Sans CJK SC"/>
        <family val="2"/>
      </rPr>
      <t xml:space="preserve">롱폼 </t>
    </r>
    <r>
      <rPr>
        <b val="true"/>
        <sz val="10"/>
        <color rgb="FF1F2A2C"/>
        <rFont val="Arial"/>
        <family val="0"/>
        <charset val="1"/>
      </rPr>
      <t xml:space="preserve">1" </t>
    </r>
    <r>
      <rPr>
        <b val="true"/>
        <sz val="10"/>
        <color rgb="FF1F2A2C"/>
        <rFont val="Noto Sans CJK SC"/>
        <family val="2"/>
      </rPr>
      <t xml:space="preserve">패키지로 소재 고갈 방지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</si>
  <si>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시공사례 </t>
    </r>
    <r>
      <rPr>
        <sz val="10"/>
        <color rgb="FF1F2A2C"/>
        <rFont val="Arial"/>
        <family val="0"/>
        <charset val="1"/>
      </rPr>
      <t xml:space="preserve">/ </t>
    </r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노하우 </t>
    </r>
    <r>
      <rPr>
        <sz val="10"/>
        <color rgb="FF1F2A2C"/>
        <rFont val="Arial"/>
        <family val="0"/>
        <charset val="1"/>
      </rPr>
      <t xml:space="preserve">/ </t>
    </r>
    <r>
      <rPr>
        <sz val="10"/>
        <color rgb="FF1F2A2C"/>
        <rFont val="Noto Sans CJK SC"/>
        <family val="2"/>
      </rPr>
      <t xml:space="preserve">제품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자재 </t>
    </r>
    <r>
      <rPr>
        <sz val="10"/>
        <color rgb="FF1F2A2C"/>
        <rFont val="Arial"/>
        <family val="0"/>
        <charset val="1"/>
      </rPr>
      <t xml:space="preserve">/ </t>
    </r>
    <r>
      <rPr>
        <sz val="10"/>
        <color rgb="FF1F2A2C"/>
        <rFont val="Noto Sans CJK SC"/>
        <family val="2"/>
      </rPr>
      <t xml:space="preserve">고객인터뷰 </t>
    </r>
    <r>
      <rPr>
        <sz val="10"/>
        <color rgb="FF1F2A2C"/>
        <rFont val="Arial"/>
        <family val="0"/>
        <charset val="1"/>
      </rPr>
      <t xml:space="preserve">/ </t>
    </r>
    <r>
      <rPr>
        <sz val="10"/>
        <color rgb="FF1F2A2C"/>
        <rFont val="Noto Sans CJK SC"/>
        <family val="2"/>
      </rPr>
      <t xml:space="preserve">인물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토크 비율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제목 기준 분류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</si>
  <si>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시공사례 </t>
    </r>
    <r>
      <rPr>
        <sz val="10"/>
        <color rgb="FF1F2A2C"/>
        <rFont val="Arial"/>
        <family val="0"/>
        <charset val="1"/>
      </rPr>
      <t xml:space="preserve">49% + </t>
    </r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노하우 </t>
    </r>
    <r>
      <rPr>
        <sz val="10"/>
        <color rgb="FF1F2A2C"/>
        <rFont val="Arial"/>
        <family val="0"/>
        <charset val="1"/>
      </rPr>
      <t xml:space="preserve">27% + </t>
    </r>
    <r>
      <rPr>
        <sz val="10"/>
        <color rgb="FF1F2A2C"/>
        <rFont val="Noto Sans CJK SC"/>
        <family val="2"/>
      </rPr>
      <t xml:space="preserve">인물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인문학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책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강연 </t>
    </r>
    <r>
      <rPr>
        <sz val="10"/>
        <color rgb="FF1F2A2C"/>
        <rFont val="Arial"/>
        <family val="0"/>
        <charset val="1"/>
      </rPr>
      <t xml:space="preserve">9%. </t>
    </r>
    <r>
      <rPr>
        <sz val="10"/>
        <color rgb="FF1F2A2C"/>
        <rFont val="Noto Sans CJK SC"/>
        <family val="2"/>
      </rPr>
      <t xml:space="preserve">평형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가족 구성 중심의 </t>
    </r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솔루션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프레임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</si>
  <si>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노하우 </t>
    </r>
    <r>
      <rPr>
        <sz val="10"/>
        <color rgb="FF1F2A2C"/>
        <rFont val="Arial"/>
        <family val="0"/>
        <charset val="1"/>
      </rPr>
      <t xml:space="preserve">38% + </t>
    </r>
    <r>
      <rPr>
        <sz val="10"/>
        <color rgb="FF1F2A2C"/>
        <rFont val="Noto Sans CJK SC"/>
        <family val="2"/>
      </rPr>
      <t xml:space="preserve">제품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추천 </t>
    </r>
    <r>
      <rPr>
        <sz val="10"/>
        <color rgb="FF1F2A2C"/>
        <rFont val="Arial"/>
        <family val="0"/>
        <charset val="1"/>
      </rPr>
      <t xml:space="preserve">28% + </t>
    </r>
    <r>
      <rPr>
        <sz val="10"/>
        <color rgb="FF1F2A2C"/>
        <rFont val="Noto Sans CJK SC"/>
        <family val="2"/>
      </rPr>
      <t xml:space="preserve">인물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토크 </t>
    </r>
    <r>
      <rPr>
        <sz val="10"/>
        <color rgb="FF1F2A2C"/>
        <rFont val="Arial"/>
        <family val="0"/>
        <charset val="1"/>
      </rPr>
      <t xml:space="preserve">15%. </t>
    </r>
    <r>
      <rPr>
        <sz val="10"/>
        <color rgb="FF1F2A2C"/>
        <rFont val="Noto Sans CJK SC"/>
        <family val="2"/>
      </rPr>
      <t xml:space="preserve">시공사례는 </t>
    </r>
    <r>
      <rPr>
        <sz val="10"/>
        <color rgb="FF1F2A2C"/>
        <rFont val="Arial"/>
        <family val="0"/>
        <charset val="1"/>
      </rPr>
      <t xml:space="preserve">9%</t>
    </r>
    <r>
      <rPr>
        <sz val="10"/>
        <color rgb="FF1F2A2C"/>
        <rFont val="Noto Sans CJK SC"/>
        <family val="2"/>
      </rPr>
      <t xml:space="preserve">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개인 브랜드형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</si>
  <si>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노하우 </t>
    </r>
    <r>
      <rPr>
        <sz val="10"/>
        <color rgb="FF1F2A2C"/>
        <rFont val="Arial"/>
        <family val="0"/>
        <charset val="1"/>
      </rPr>
      <t xml:space="preserve">39% + </t>
    </r>
    <r>
      <rPr>
        <sz val="10"/>
        <color rgb="FF1F2A2C"/>
        <rFont val="Noto Sans CJK SC"/>
        <family val="2"/>
      </rPr>
      <t xml:space="preserve">시공사례 </t>
    </r>
    <r>
      <rPr>
        <sz val="10"/>
        <color rgb="FF1F2A2C"/>
        <rFont val="Arial"/>
        <family val="0"/>
        <charset val="1"/>
      </rPr>
      <t xml:space="preserve">27% + </t>
    </r>
    <r>
      <rPr>
        <sz val="10"/>
        <color rgb="FF1F2A2C"/>
        <rFont val="Noto Sans CJK SC"/>
        <family val="2"/>
      </rPr>
      <t xml:space="preserve">제품 </t>
    </r>
    <r>
      <rPr>
        <sz val="10"/>
        <color rgb="FF1F2A2C"/>
        <rFont val="Arial"/>
        <family val="0"/>
        <charset val="1"/>
      </rPr>
      <t xml:space="preserve">21% + </t>
    </r>
    <r>
      <rPr>
        <sz val="10"/>
        <color rgb="FF1F2A2C"/>
        <rFont val="Noto Sans CJK SC"/>
        <family val="2"/>
      </rPr>
      <t xml:space="preserve">고객후기 </t>
    </r>
    <r>
      <rPr>
        <sz val="10"/>
        <color rgb="FF1F2A2C"/>
        <rFont val="Arial"/>
        <family val="0"/>
        <charset val="1"/>
      </rPr>
      <t xml:space="preserve">10%. 5</t>
    </r>
    <r>
      <rPr>
        <sz val="10"/>
        <color rgb="FF1F2A2C"/>
        <rFont val="Noto Sans CJK SC"/>
        <family val="2"/>
      </rPr>
      <t xml:space="preserve">개 축을 가장 고르게 운영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</si>
  <si>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시공사례 </t>
    </r>
    <r>
      <rPr>
        <sz val="10"/>
        <color rgb="FF1F2A2C"/>
        <rFont val="Arial"/>
        <family val="0"/>
        <charset val="1"/>
      </rPr>
      <t xml:space="preserve">75%</t>
    </r>
    <r>
      <rPr>
        <sz val="10"/>
        <color rgb="FF1F2A2C"/>
        <rFont val="Noto Sans CJK SC"/>
        <family val="2"/>
      </rPr>
      <t xml:space="preserve">로 포트폴리오형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정보성 </t>
    </r>
    <r>
      <rPr>
        <sz val="10"/>
        <color rgb="FF1F2A2C"/>
        <rFont val="Arial"/>
        <family val="0"/>
        <charset val="1"/>
      </rPr>
      <t xml:space="preserve">10%</t>
    </r>
    <r>
      <rPr>
        <sz val="10"/>
        <color rgb="FF1F2A2C"/>
        <rFont val="Noto Sans CJK SC"/>
        <family val="2"/>
      </rPr>
      <t xml:space="preserve">로 낮아 검색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추천 확장에 한계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</si>
  <si>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제품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자재</t>
    </r>
    <r>
      <rPr>
        <b val="true"/>
        <sz val="10"/>
        <color rgb="FFB5541E"/>
        <rFont val="Arial"/>
        <family val="0"/>
        <charset val="1"/>
      </rPr>
      <t xml:space="preserve">(LX) 41% + </t>
    </r>
    <r>
      <rPr>
        <b val="true"/>
        <sz val="10"/>
        <color rgb="FFB5541E"/>
        <rFont val="Noto Sans CJK SC"/>
        <family val="2"/>
      </rPr>
      <t xml:space="preserve">시공사례 </t>
    </r>
    <r>
      <rPr>
        <b val="true"/>
        <sz val="10"/>
        <color rgb="FFB5541E"/>
        <rFont val="Arial"/>
        <family val="0"/>
        <charset val="1"/>
      </rPr>
      <t xml:space="preserve">41%. </t>
    </r>
    <r>
      <rPr>
        <b val="true"/>
        <sz val="10"/>
        <color rgb="FFB5541E"/>
        <rFont val="Noto Sans CJK SC"/>
        <family val="2"/>
      </rPr>
      <t xml:space="preserve">정보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노하우 </t>
    </r>
    <r>
      <rPr>
        <b val="true"/>
        <sz val="10"/>
        <color rgb="FFB5541E"/>
        <rFont val="Arial"/>
        <family val="0"/>
        <charset val="1"/>
      </rPr>
      <t xml:space="preserve">13%, </t>
    </r>
    <r>
      <rPr>
        <b val="true"/>
        <sz val="10"/>
        <color rgb="FFB5541E"/>
        <rFont val="Noto Sans CJK SC"/>
        <family val="2"/>
      </rPr>
      <t xml:space="preserve">인물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토크 </t>
    </r>
    <r>
      <rPr>
        <b val="true"/>
        <sz val="10"/>
        <color rgb="FFB5541E"/>
        <rFont val="Arial"/>
        <family val="0"/>
        <charset val="1"/>
      </rPr>
      <t xml:space="preserve">1%. </t>
    </r>
    <r>
      <rPr>
        <b val="true"/>
        <sz val="10"/>
        <color rgb="FFB5541E"/>
        <rFont val="Noto Sans CJK SC"/>
        <family val="2"/>
      </rPr>
      <t xml:space="preserve">대리점 홍보 톤이 강함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</si>
  <si>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제품 홍보 비중을 </t>
    </r>
    <r>
      <rPr>
        <b val="true"/>
        <sz val="10"/>
        <color rgb="FF1F2A2C"/>
        <rFont val="Arial"/>
        <family val="0"/>
        <charset val="1"/>
      </rPr>
      <t xml:space="preserve">20% </t>
    </r>
    <r>
      <rPr>
        <b val="true"/>
        <sz val="10"/>
        <color rgb="FF1F2A2C"/>
        <rFont val="Noto Sans CJK SC"/>
        <family val="2"/>
      </rPr>
      <t xml:space="preserve">이하로 낮추고 정보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노하우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비용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순서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실패 사례</t>
    </r>
    <r>
      <rPr>
        <b val="true"/>
        <sz val="10"/>
        <color rgb="FF1F2A2C"/>
        <rFont val="Arial"/>
        <family val="0"/>
        <charset val="1"/>
      </rPr>
      <t xml:space="preserve">)</t>
    </r>
    <r>
      <rPr>
        <b val="true"/>
        <sz val="10"/>
        <color rgb="FF1F2A2C"/>
        <rFont val="Noto Sans CJK SC"/>
        <family val="2"/>
      </rPr>
      <t xml:space="preserve">를 </t>
    </r>
    <r>
      <rPr>
        <b val="true"/>
        <sz val="10"/>
        <color rgb="FF1F2A2C"/>
        <rFont val="Arial"/>
        <family val="0"/>
        <charset val="1"/>
      </rPr>
      <t xml:space="preserve">35%</t>
    </r>
    <r>
      <rPr>
        <b val="true"/>
        <sz val="10"/>
        <color rgb="FF1F2A2C"/>
        <rFont val="Noto Sans CJK SC"/>
        <family val="2"/>
      </rPr>
      <t xml:space="preserve">까지 확대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블로그에서 이미 검증된 주제를 영상화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</si>
  <si>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출연자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촬영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편집 구조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시리즈화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후킹 구성</t>
    </r>
  </si>
  <si>
    <r>
      <rPr>
        <sz val="10"/>
        <color rgb="FF1F2A2C"/>
        <rFont val="Noto Sans CJK SC"/>
        <family val="2"/>
      </rPr>
      <t xml:space="preserve">대표가 현장에서 직접 해설하는 워크스루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문제 제기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가족 불편</t>
    </r>
    <r>
      <rPr>
        <sz val="10"/>
        <color rgb="FF1F2A2C"/>
        <rFont val="Arial"/>
        <family val="0"/>
        <charset val="1"/>
      </rPr>
      <t xml:space="preserve">) → </t>
    </r>
    <r>
      <rPr>
        <sz val="10"/>
        <color rgb="FF1F2A2C"/>
        <rFont val="Noto Sans CJK SC"/>
        <family val="2"/>
      </rPr>
      <t xml:space="preserve">구조 변경 → 결과 순의 스토리 편집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고객인터뷰 시리즈 병행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</si>
  <si>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스튜디오 토크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제품 실물 리뷰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얼굴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표정 중심 클로즈업</t>
    </r>
    <r>
      <rPr>
        <sz val="10"/>
        <color rgb="FF1F2A2C"/>
        <rFont val="Arial"/>
        <family val="0"/>
        <charset val="1"/>
      </rPr>
      <t xml:space="preserve">, "</t>
    </r>
    <r>
      <rPr>
        <sz val="10"/>
        <color rgb="FF1F2A2C"/>
        <rFont val="Noto Sans CJK SC"/>
        <family val="2"/>
      </rPr>
      <t xml:space="preserve">폭로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하지 마세요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식 반전 서사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챕터형 리스트</t>
    </r>
    <r>
      <rPr>
        <sz val="10"/>
        <color rgb="FF1F2A2C"/>
        <rFont val="Arial"/>
        <family val="0"/>
        <charset val="1"/>
      </rPr>
      <t xml:space="preserve">(5</t>
    </r>
    <r>
      <rPr>
        <sz val="10"/>
        <color rgb="FF1F2A2C"/>
        <rFont val="Noto Sans CJK SC"/>
        <family val="2"/>
      </rPr>
      <t xml:space="preserve">가지</t>
    </r>
    <r>
      <rPr>
        <sz val="10"/>
        <color rgb="FF1F2A2C"/>
        <rFont val="Arial"/>
        <family val="0"/>
        <charset val="1"/>
      </rPr>
      <t xml:space="preserve">·16</t>
    </r>
    <r>
      <rPr>
        <sz val="10"/>
        <color rgb="FF1F2A2C"/>
        <rFont val="Noto Sans CJK SC"/>
        <family val="2"/>
      </rPr>
      <t xml:space="preserve">가지</t>
    </r>
    <r>
      <rPr>
        <sz val="10"/>
        <color rgb="FF1F2A2C"/>
        <rFont val="Arial"/>
        <family val="0"/>
        <charset val="1"/>
      </rPr>
      <t xml:space="preserve">).</t>
    </r>
  </si>
  <si>
    <r>
      <rPr>
        <sz val="10"/>
        <color rgb="FF1F2A2C"/>
        <rFont val="Noto Sans CJK SC"/>
        <family val="2"/>
      </rPr>
      <t xml:space="preserve">디자이너가 카메라 앞에서 룸투어하며 자재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시공 포인트 설명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이모지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키워드 자막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비포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후회 포인트 등 리뷰 문법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</si>
  <si>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인물 최소화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짐벌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시네마틱 무빙과 음악 중심의 하이엔드 영상미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클립</t>
    </r>
    <r>
      <rPr>
        <sz val="10"/>
        <color rgb="FF1F2A2C"/>
        <rFont val="Arial"/>
        <family val="0"/>
        <charset val="1"/>
      </rPr>
      <t xml:space="preserve">(3</t>
    </r>
    <r>
      <rPr>
        <sz val="10"/>
        <color rgb="FF1F2A2C"/>
        <rFont val="Noto Sans CJK SC"/>
        <family val="2"/>
      </rPr>
      <t xml:space="preserve">분 미만</t>
    </r>
    <r>
      <rPr>
        <sz val="10"/>
        <color rgb="FF1F2A2C"/>
        <rFont val="Arial"/>
        <family val="0"/>
        <charset val="1"/>
      </rPr>
      <t xml:space="preserve">)</t>
    </r>
    <r>
      <rPr>
        <sz val="10"/>
        <color rgb="FF1F2A2C"/>
        <rFont val="Noto Sans CJK SC"/>
        <family val="2"/>
      </rPr>
      <t xml:space="preserve">과 리뷰</t>
    </r>
    <r>
      <rPr>
        <sz val="10"/>
        <color rgb="FF1F2A2C"/>
        <rFont val="Arial"/>
        <family val="0"/>
        <charset val="1"/>
      </rPr>
      <t xml:space="preserve">(10</t>
    </r>
    <r>
      <rPr>
        <sz val="10"/>
        <color rgb="FF1F2A2C"/>
        <rFont val="Noto Sans CJK SC"/>
        <family val="2"/>
      </rPr>
      <t xml:space="preserve">분</t>
    </r>
    <r>
      <rPr>
        <sz val="10"/>
        <color rgb="FF1F2A2C"/>
        <rFont val="Arial"/>
        <family val="0"/>
        <charset val="1"/>
      </rPr>
      <t xml:space="preserve">) 2</t>
    </r>
    <r>
      <rPr>
        <sz val="10"/>
        <color rgb="FF1F2A2C"/>
        <rFont val="Noto Sans CJK SC"/>
        <family val="2"/>
      </rPr>
      <t xml:space="preserve">트랙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</si>
  <si>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인물 없이 현장 패닝 촬영 </t>
    </r>
    <r>
      <rPr>
        <b val="true"/>
        <sz val="10"/>
        <color rgb="FFB5541E"/>
        <rFont val="Arial"/>
        <family val="0"/>
        <charset val="1"/>
      </rPr>
      <t xml:space="preserve">+ </t>
    </r>
    <r>
      <rPr>
        <b val="true"/>
        <sz val="10"/>
        <color rgb="FFB5541E"/>
        <rFont val="Noto Sans CJK SC"/>
        <family val="2"/>
      </rPr>
      <t xml:space="preserve">자막</t>
    </r>
    <r>
      <rPr>
        <b val="true"/>
        <sz val="10"/>
        <color rgb="FFB5541E"/>
        <rFont val="Arial"/>
        <family val="0"/>
        <charset val="1"/>
      </rPr>
      <t xml:space="preserve">. 1~3</t>
    </r>
    <r>
      <rPr>
        <b val="true"/>
        <sz val="10"/>
        <color rgb="FFB5541E"/>
        <rFont val="Noto Sans CJK SC"/>
        <family val="2"/>
      </rPr>
      <t xml:space="preserve">분 스케치라 서사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문제 해결 구조가 없고 시리즈 연결도 없음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</si>
  <si>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① 출연자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대표 또는 실장</t>
    </r>
    <r>
      <rPr>
        <b val="true"/>
        <sz val="10"/>
        <color rgb="FF1F2A2C"/>
        <rFont val="Arial"/>
        <family val="0"/>
        <charset val="1"/>
      </rPr>
      <t xml:space="preserve">) </t>
    </r>
    <r>
      <rPr>
        <b val="true"/>
        <sz val="10"/>
        <color rgb="FF1F2A2C"/>
        <rFont val="Noto Sans CJK SC"/>
        <family val="2"/>
      </rPr>
      <t xml:space="preserve">고정 ② </t>
    </r>
    <r>
      <rPr>
        <b val="true"/>
        <sz val="10"/>
        <color rgb="FF1F2A2C"/>
        <rFont val="Arial"/>
        <family val="0"/>
        <charset val="1"/>
      </rPr>
      <t xml:space="preserve">"</t>
    </r>
    <r>
      <rPr>
        <b val="true"/>
        <sz val="10"/>
        <color rgb="FF1F2A2C"/>
        <rFont val="Noto Sans CJK SC"/>
        <family val="2"/>
      </rPr>
      <t xml:space="preserve">문제→해결→비용</t>
    </r>
    <r>
      <rPr>
        <b val="true"/>
        <sz val="10"/>
        <color rgb="FF1F2A2C"/>
        <rFont val="Arial"/>
        <family val="0"/>
        <charset val="1"/>
      </rPr>
      <t xml:space="preserve">" 3</t>
    </r>
    <r>
      <rPr>
        <b val="true"/>
        <sz val="10"/>
        <color rgb="FF1F2A2C"/>
        <rFont val="Noto Sans CJK SC"/>
        <family val="2"/>
      </rPr>
      <t xml:space="preserve">막 구조 ③ 챕터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자막 템플릿 ④ 현장별 비포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애프터 동일 앵글 촬영 규칙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</si>
  <si>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제목 길이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숫자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평형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지역 키워드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후킹 문구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브랜드 태그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썸네일 구성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수치는 최근 </t>
    </r>
    <r>
      <rPr>
        <sz val="10"/>
        <color rgb="FF1F2A2C"/>
        <rFont val="Arial"/>
        <family val="0"/>
        <charset val="1"/>
      </rPr>
      <t xml:space="preserve">75~180</t>
    </r>
    <r>
      <rPr>
        <sz val="10"/>
        <color rgb="FF1F2A2C"/>
        <rFont val="Noto Sans CJK SC"/>
        <family val="2"/>
      </rPr>
      <t xml:space="preserve">편 기준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</si>
  <si>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평균 </t>
    </r>
    <r>
      <rPr>
        <sz val="10"/>
        <color rgb="FF1F2A2C"/>
        <rFont val="Arial"/>
        <family val="0"/>
        <charset val="1"/>
      </rPr>
      <t xml:space="preserve">35</t>
    </r>
    <r>
      <rPr>
        <sz val="10"/>
        <color rgb="FF1F2A2C"/>
        <rFont val="Noto Sans CJK SC"/>
        <family val="2"/>
      </rPr>
      <t xml:space="preserve">자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최단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해시태그 </t>
    </r>
    <r>
      <rPr>
        <sz val="10"/>
        <color rgb="FF1F2A2C"/>
        <rFont val="Arial"/>
        <family val="0"/>
        <charset val="1"/>
      </rPr>
      <t xml:space="preserve">62%, </t>
    </r>
    <r>
      <rPr>
        <sz val="10"/>
        <color rgb="FF1F2A2C"/>
        <rFont val="Noto Sans CJK SC"/>
        <family val="2"/>
      </rPr>
      <t xml:space="preserve">후킹어 </t>
    </r>
    <r>
      <rPr>
        <sz val="10"/>
        <color rgb="FF1F2A2C"/>
        <rFont val="Arial"/>
        <family val="0"/>
        <charset val="1"/>
      </rPr>
      <t xml:space="preserve">56%, </t>
    </r>
    <r>
      <rPr>
        <sz val="10"/>
        <color rgb="FF1F2A2C"/>
        <rFont val="Noto Sans CJK SC"/>
        <family val="2"/>
      </rPr>
      <t xml:space="preserve">평형 </t>
    </r>
    <r>
      <rPr>
        <sz val="10"/>
        <color rgb="FF1F2A2C"/>
        <rFont val="Arial"/>
        <family val="0"/>
        <charset val="1"/>
      </rPr>
      <t xml:space="preserve">29%. </t>
    </r>
    <r>
      <rPr>
        <sz val="10"/>
        <color rgb="FF1F2A2C"/>
        <rFont val="Noto Sans CJK SC"/>
        <family val="2"/>
      </rPr>
      <t xml:space="preserve">썸네일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인물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공간 </t>
    </r>
    <r>
      <rPr>
        <sz val="10"/>
        <color rgb="FF1F2A2C"/>
        <rFont val="Arial"/>
        <family val="0"/>
        <charset val="1"/>
      </rPr>
      <t xml:space="preserve">+ "130</t>
    </r>
    <r>
      <rPr>
        <sz val="10"/>
        <color rgb="FF1F2A2C"/>
        <rFont val="Noto Sans CJK SC"/>
        <family val="2"/>
      </rPr>
      <t xml:space="preserve">만뷰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뱃지 </t>
    </r>
    <r>
      <rPr>
        <sz val="10"/>
        <color rgb="FF1F2A2C"/>
        <rFont val="Arial"/>
        <family val="0"/>
        <charset val="1"/>
      </rPr>
      <t xml:space="preserve">+ 2</t>
    </r>
    <r>
      <rPr>
        <sz val="10"/>
        <color rgb="FF1F2A2C"/>
        <rFont val="Noto Sans CJK SC"/>
        <family val="2"/>
      </rPr>
      <t xml:space="preserve">줄 대형 카피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</si>
  <si>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평균 </t>
    </r>
    <r>
      <rPr>
        <sz val="10"/>
        <color rgb="FF1F2A2C"/>
        <rFont val="Arial"/>
        <family val="0"/>
        <charset val="1"/>
      </rPr>
      <t xml:space="preserve">47</t>
    </r>
    <r>
      <rPr>
        <sz val="10"/>
        <color rgb="FF1F2A2C"/>
        <rFont val="Noto Sans CJK SC"/>
        <family val="2"/>
      </rPr>
      <t xml:space="preserve">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인용구 제목 </t>
    </r>
    <r>
      <rPr>
        <sz val="10"/>
        <color rgb="FF1F2A2C"/>
        <rFont val="Arial"/>
        <family val="0"/>
        <charset val="1"/>
      </rPr>
      <t xml:space="preserve">20%, </t>
    </r>
    <r>
      <rPr>
        <sz val="10"/>
        <color rgb="FF1F2A2C"/>
        <rFont val="Noto Sans CJK SC"/>
        <family val="2"/>
      </rPr>
      <t xml:space="preserve">세로바 </t>
    </r>
    <r>
      <rPr>
        <sz val="10"/>
        <color rgb="FF1F2A2C"/>
        <rFont val="Arial"/>
        <family val="0"/>
        <charset val="1"/>
      </rPr>
      <t xml:space="preserve">53%, </t>
    </r>
    <r>
      <rPr>
        <sz val="10"/>
        <color rgb="FF1F2A2C"/>
        <rFont val="Noto Sans CJK SC"/>
        <family val="2"/>
      </rPr>
      <t xml:space="preserve">후킹어 </t>
    </r>
    <r>
      <rPr>
        <sz val="10"/>
        <color rgb="FF1F2A2C"/>
        <rFont val="Arial"/>
        <family val="0"/>
        <charset val="1"/>
      </rPr>
      <t xml:space="preserve">66%. </t>
    </r>
    <r>
      <rPr>
        <sz val="10"/>
        <color rgb="FF1F2A2C"/>
        <rFont val="Noto Sans CJK SC"/>
        <family val="2"/>
      </rPr>
      <t xml:space="preserve">썸네일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인물 정면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소품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조회수 뱃지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색상 강조 키워드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</si>
  <si>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평균 </t>
    </r>
    <r>
      <rPr>
        <sz val="10"/>
        <color rgb="FF1F2A2C"/>
        <rFont val="Arial"/>
        <family val="0"/>
        <charset val="1"/>
      </rPr>
      <t xml:space="preserve">67</t>
    </r>
    <r>
      <rPr>
        <sz val="10"/>
        <color rgb="FF1F2A2C"/>
        <rFont val="Noto Sans CJK SC"/>
        <family val="2"/>
      </rPr>
      <t xml:space="preserve">자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최장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이모지 </t>
    </r>
    <r>
      <rPr>
        <sz val="10"/>
        <color rgb="FF1F2A2C"/>
        <rFont val="Arial"/>
        <family val="0"/>
        <charset val="1"/>
      </rPr>
      <t xml:space="preserve">82%, </t>
    </r>
    <r>
      <rPr>
        <sz val="10"/>
        <color rgb="FF1F2A2C"/>
        <rFont val="Noto Sans CJK SC"/>
        <family val="2"/>
      </rPr>
      <t xml:space="preserve">브랜드 태그 </t>
    </r>
    <r>
      <rPr>
        <sz val="10"/>
        <color rgb="FF1F2A2C"/>
        <rFont val="Arial"/>
        <family val="0"/>
        <charset val="1"/>
      </rPr>
      <t xml:space="preserve">77%, </t>
    </r>
    <r>
      <rPr>
        <sz val="10"/>
        <color rgb="FF1F2A2C"/>
        <rFont val="Noto Sans CJK SC"/>
        <family val="2"/>
      </rPr>
      <t xml:space="preserve">평형 </t>
    </r>
    <r>
      <rPr>
        <sz val="10"/>
        <color rgb="FF1F2A2C"/>
        <rFont val="Arial"/>
        <family val="0"/>
        <charset val="1"/>
      </rPr>
      <t xml:space="preserve">64%. </t>
    </r>
    <r>
      <rPr>
        <sz val="10"/>
        <color rgb="FF1F2A2C"/>
        <rFont val="Noto Sans CJK SC"/>
        <family val="2"/>
      </rPr>
      <t xml:space="preserve">썸네일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공간 사진 </t>
    </r>
    <r>
      <rPr>
        <sz val="10"/>
        <color rgb="FF1F2A2C"/>
        <rFont val="Arial"/>
        <family val="0"/>
        <charset val="1"/>
      </rPr>
      <t xml:space="preserve">+ "300</t>
    </r>
    <r>
      <rPr>
        <sz val="10"/>
        <color rgb="FF1F2A2C"/>
        <rFont val="Noto Sans CJK SC"/>
        <family val="2"/>
      </rPr>
      <t xml:space="preserve">만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대형 숫자 </t>
    </r>
    <r>
      <rPr>
        <sz val="10"/>
        <color rgb="FF1F2A2C"/>
        <rFont val="Arial"/>
        <family val="0"/>
        <charset val="1"/>
      </rPr>
      <t xml:space="preserve">+ 2</t>
    </r>
    <r>
      <rPr>
        <sz val="10"/>
        <color rgb="FF1F2A2C"/>
        <rFont val="Noto Sans CJK SC"/>
        <family val="2"/>
      </rPr>
      <t xml:space="preserve">줄 카피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</si>
  <si>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평균 </t>
    </r>
    <r>
      <rPr>
        <sz val="10"/>
        <color rgb="FF1F2A2C"/>
        <rFont val="Arial"/>
        <family val="0"/>
        <charset val="1"/>
      </rPr>
      <t xml:space="preserve">39</t>
    </r>
    <r>
      <rPr>
        <sz val="10"/>
        <color rgb="FF1F2A2C"/>
        <rFont val="Noto Sans CJK SC"/>
        <family val="2"/>
      </rPr>
      <t xml:space="preserve">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지역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단지 </t>
    </r>
    <r>
      <rPr>
        <sz val="10"/>
        <color rgb="FF1F2A2C"/>
        <rFont val="Arial"/>
        <family val="0"/>
        <charset val="1"/>
      </rPr>
      <t xml:space="preserve">18%, </t>
    </r>
    <r>
      <rPr>
        <sz val="10"/>
        <color rgb="FF1F2A2C"/>
        <rFont val="Noto Sans CJK SC"/>
        <family val="2"/>
      </rPr>
      <t xml:space="preserve">브랜드 태그 </t>
    </r>
    <r>
      <rPr>
        <sz val="10"/>
        <color rgb="FF1F2A2C"/>
        <rFont val="Arial"/>
        <family val="0"/>
        <charset val="1"/>
      </rPr>
      <t xml:space="preserve">31%. </t>
    </r>
    <r>
      <rPr>
        <sz val="10"/>
        <color rgb="FF1F2A2C"/>
        <rFont val="Noto Sans CJK SC"/>
        <family val="2"/>
      </rPr>
      <t xml:space="preserve">썸네일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시공 사진 위주에 소형 카피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인물 없음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</si>
  <si>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평균 </t>
    </r>
    <r>
      <rPr>
        <b val="true"/>
        <sz val="10"/>
        <color rgb="FFB5541E"/>
        <rFont val="Arial"/>
        <family val="0"/>
        <charset val="1"/>
      </rPr>
      <t xml:space="preserve">42</t>
    </r>
    <r>
      <rPr>
        <b val="true"/>
        <sz val="10"/>
        <color rgb="FFB5541E"/>
        <rFont val="Noto Sans CJK SC"/>
        <family val="2"/>
      </rPr>
      <t xml:space="preserve">자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지역 </t>
    </r>
    <r>
      <rPr>
        <b val="true"/>
        <sz val="10"/>
        <color rgb="FFB5541E"/>
        <rFont val="Arial"/>
        <family val="0"/>
        <charset val="1"/>
      </rPr>
      <t xml:space="preserve">43%·</t>
    </r>
    <r>
      <rPr>
        <b val="true"/>
        <sz val="10"/>
        <color rgb="FFB5541E"/>
        <rFont val="Noto Sans CJK SC"/>
        <family val="2"/>
      </rPr>
      <t xml:space="preserve">평형 </t>
    </r>
    <r>
      <rPr>
        <b val="true"/>
        <sz val="10"/>
        <color rgb="FFB5541E"/>
        <rFont val="Arial"/>
        <family val="0"/>
        <charset val="1"/>
      </rPr>
      <t xml:space="preserve">51%</t>
    </r>
    <r>
      <rPr>
        <b val="true"/>
        <sz val="10"/>
        <color rgb="FFB5541E"/>
        <rFont val="Noto Sans CJK SC"/>
        <family val="2"/>
      </rPr>
      <t xml:space="preserve">로 검색 키워드는 강함</t>
    </r>
    <r>
      <rPr>
        <b val="true"/>
        <sz val="10"/>
        <color rgb="FFB5541E"/>
        <rFont val="Arial"/>
        <family val="0"/>
        <charset val="1"/>
      </rPr>
      <t xml:space="preserve">. </t>
    </r>
    <r>
      <rPr>
        <b val="true"/>
        <sz val="10"/>
        <color rgb="FFB5541E"/>
        <rFont val="Noto Sans CJK SC"/>
        <family val="2"/>
      </rPr>
      <t xml:space="preserve">후킹어 </t>
    </r>
    <r>
      <rPr>
        <b val="true"/>
        <sz val="10"/>
        <color rgb="FFB5541E"/>
        <rFont val="Arial"/>
        <family val="0"/>
        <charset val="1"/>
      </rPr>
      <t xml:space="preserve">44%, </t>
    </r>
    <r>
      <rPr>
        <b val="true"/>
        <sz val="10"/>
        <color rgb="FFB5541E"/>
        <rFont val="Noto Sans CJK SC"/>
        <family val="2"/>
      </rPr>
      <t xml:space="preserve">이모지 </t>
    </r>
    <r>
      <rPr>
        <b val="true"/>
        <sz val="10"/>
        <color rgb="FFB5541E"/>
        <rFont val="Arial"/>
        <family val="0"/>
        <charset val="1"/>
      </rPr>
      <t xml:space="preserve">0%. </t>
    </r>
    <r>
      <rPr>
        <b val="true"/>
        <sz val="10"/>
        <color rgb="FFB5541E"/>
        <rFont val="Noto Sans CJK SC"/>
        <family val="2"/>
      </rPr>
      <t xml:space="preserve">썸네일</t>
    </r>
    <r>
      <rPr>
        <b val="true"/>
        <sz val="10"/>
        <color rgb="FFB5541E"/>
        <rFont val="Arial"/>
        <family val="0"/>
        <charset val="1"/>
      </rPr>
      <t xml:space="preserve">: </t>
    </r>
    <r>
      <rPr>
        <b val="true"/>
        <sz val="10"/>
        <color rgb="FFB5541E"/>
        <rFont val="Noto Sans CJK SC"/>
        <family val="2"/>
      </rPr>
      <t xml:space="preserve">현장 사진 </t>
    </r>
    <r>
      <rPr>
        <b val="true"/>
        <sz val="10"/>
        <color rgb="FFB5541E"/>
        <rFont val="Arial"/>
        <family val="0"/>
        <charset val="1"/>
      </rPr>
      <t xml:space="preserve">+ </t>
    </r>
    <r>
      <rPr>
        <b val="true"/>
        <sz val="10"/>
        <color rgb="FFB5541E"/>
        <rFont val="Noto Sans CJK SC"/>
        <family val="2"/>
      </rPr>
      <t xml:space="preserve">흰 자막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인물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숫자 뱃지 없음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</si>
  <si>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지역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평형 키워드는 유지하고 앞부분에 후킹 문구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비용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후회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비교</t>
    </r>
    <r>
      <rPr>
        <b val="true"/>
        <sz val="10"/>
        <color rgb="FF1F2A2C"/>
        <rFont val="Arial"/>
        <family val="0"/>
        <charset val="1"/>
      </rPr>
      <t xml:space="preserve">)</t>
    </r>
    <r>
      <rPr>
        <b val="true"/>
        <sz val="10"/>
        <color rgb="FF1F2A2C"/>
        <rFont val="Noto Sans CJK SC"/>
        <family val="2"/>
      </rPr>
      <t xml:space="preserve">를 추가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썸네일 템플릿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종 고정</t>
    </r>
    <r>
      <rPr>
        <b val="true"/>
        <sz val="10"/>
        <color rgb="FF1F2A2C"/>
        <rFont val="Arial"/>
        <family val="0"/>
        <charset val="1"/>
      </rPr>
      <t xml:space="preserve">: </t>
    </r>
    <r>
      <rPr>
        <b val="true"/>
        <sz val="10"/>
        <color rgb="FF1F2A2C"/>
        <rFont val="Noto Sans CJK SC"/>
        <family val="2"/>
      </rPr>
      <t xml:space="preserve">공간 사진 </t>
    </r>
    <r>
      <rPr>
        <b val="true"/>
        <sz val="10"/>
        <color rgb="FF1F2A2C"/>
        <rFont val="Arial"/>
        <family val="0"/>
        <charset val="1"/>
      </rPr>
      <t xml:space="preserve">+ </t>
    </r>
    <r>
      <rPr>
        <b val="true"/>
        <sz val="10"/>
        <color rgb="FF1F2A2C"/>
        <rFont val="Noto Sans CJK SC"/>
        <family val="2"/>
      </rPr>
      <t xml:space="preserve">인물 </t>
    </r>
    <r>
      <rPr>
        <b val="true"/>
        <sz val="10"/>
        <color rgb="FF1F2A2C"/>
        <rFont val="Arial"/>
        <family val="0"/>
        <charset val="1"/>
      </rPr>
      <t xml:space="preserve">+ </t>
    </r>
    <r>
      <rPr>
        <b val="true"/>
        <sz val="10"/>
        <color rgb="FF1F2A2C"/>
        <rFont val="Noto Sans CJK SC"/>
        <family val="2"/>
      </rPr>
      <t xml:space="preserve">숫자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평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비용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조회</t>
    </r>
    <r>
      <rPr>
        <b val="true"/>
        <sz val="10"/>
        <color rgb="FF1F2A2C"/>
        <rFont val="Arial"/>
        <family val="0"/>
        <charset val="1"/>
      </rPr>
      <t xml:space="preserve">) + 2</t>
    </r>
    <r>
      <rPr>
        <b val="true"/>
        <sz val="10"/>
        <color rgb="FF1F2A2C"/>
        <rFont val="Noto Sans CJK SC"/>
        <family val="2"/>
      </rPr>
      <t xml:space="preserve">줄 카피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</si>
  <si>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대표 노출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슬로건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철학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채널 정체성</t>
    </r>
  </si>
  <si>
    <r>
      <rPr>
        <sz val="10"/>
        <color rgb="FF1F2A2C"/>
        <rFont val="Noto Sans CJK SC"/>
        <family val="2"/>
      </rPr>
      <t xml:space="preserve">오승욱 대표 </t>
    </r>
    <r>
      <rPr>
        <sz val="10"/>
        <color rgb="FF1F2A2C"/>
        <rFont val="Arial"/>
        <family val="0"/>
        <charset val="1"/>
      </rPr>
      <t xml:space="preserve">= </t>
    </r>
    <r>
      <rPr>
        <sz val="10"/>
        <color rgb="FF1F2A2C"/>
        <rFont val="Noto Sans CJK SC"/>
        <family val="2"/>
      </rPr>
      <t xml:space="preserve">채널 얼굴</t>
    </r>
    <r>
      <rPr>
        <sz val="10"/>
        <color rgb="FF1F2A2C"/>
        <rFont val="Arial"/>
        <family val="0"/>
        <charset val="1"/>
      </rPr>
      <t xml:space="preserve">. "</t>
    </r>
    <r>
      <rPr>
        <sz val="10"/>
        <color rgb="FF1F2A2C"/>
        <rFont val="Noto Sans CJK SC"/>
        <family val="2"/>
      </rPr>
      <t xml:space="preserve">기능미학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나다운 공간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철학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책 출간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강연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웹진으로 사상 브랜드화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</si>
  <si>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백예진 대표 개인 브랜드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인테리언니</t>
    </r>
    <r>
      <rPr>
        <sz val="10"/>
        <color rgb="FF1F2A2C"/>
        <rFont val="Arial"/>
        <family val="0"/>
        <charset val="1"/>
      </rPr>
      <t xml:space="preserve">)</t>
    </r>
    <r>
      <rPr>
        <sz val="10"/>
        <color rgb="FF1F2A2C"/>
        <rFont val="Noto Sans CJK SC"/>
        <family val="2"/>
      </rPr>
      <t xml:space="preserve">가 회사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더 코나</t>
    </r>
    <r>
      <rPr>
        <sz val="10"/>
        <color rgb="FF1F2A2C"/>
        <rFont val="Arial"/>
        <family val="0"/>
        <charset val="1"/>
      </rPr>
      <t xml:space="preserve">)</t>
    </r>
    <r>
      <rPr>
        <sz val="10"/>
        <color rgb="FF1F2A2C"/>
        <rFont val="Noto Sans CJK SC"/>
        <family val="2"/>
      </rPr>
      <t xml:space="preserve">보다 앞섬</t>
    </r>
    <r>
      <rPr>
        <sz val="10"/>
        <color rgb="FF1F2A2C"/>
        <rFont val="Arial"/>
        <family val="0"/>
        <charset val="1"/>
      </rPr>
      <t xml:space="preserve">. "16</t>
    </r>
    <r>
      <rPr>
        <sz val="10"/>
        <color rgb="FF1F2A2C"/>
        <rFont val="Noto Sans CJK SC"/>
        <family val="2"/>
      </rPr>
      <t xml:space="preserve">년차 디자이너의 솔직한 시선</t>
    </r>
    <r>
      <rPr>
        <sz val="10"/>
        <color rgb="FF1F2A2C"/>
        <rFont val="Arial"/>
        <family val="0"/>
        <charset val="1"/>
      </rPr>
      <t xml:space="preserve">".</t>
    </r>
  </si>
  <si>
    <r>
      <rPr>
        <sz val="10"/>
        <color rgb="FF1F2A2C"/>
        <rFont val="Noto Sans CJK SC"/>
        <family val="2"/>
      </rPr>
      <t xml:space="preserve">디자이너 그룹 이미지</t>
    </r>
    <r>
      <rPr>
        <sz val="10"/>
        <color rgb="FF1F2A2C"/>
        <rFont val="Arial"/>
        <family val="0"/>
        <charset val="1"/>
      </rPr>
      <t xml:space="preserve">. "</t>
    </r>
    <r>
      <rPr>
        <sz val="10"/>
        <color rgb="FF1F2A2C"/>
        <rFont val="Noto Sans CJK SC"/>
        <family val="2"/>
      </rPr>
      <t xml:space="preserve">강남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서초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송파 아파트 전문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지역 포지셔닝과 리뷰 문법으로 친근함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</si>
  <si>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하이엔드 주거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단독주택 건축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프리미엄 스튜디오 포지셔닝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인물보다 결과물 중심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</si>
  <si>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Arial"/>
        <family val="0"/>
        <charset val="1"/>
      </rPr>
      <t xml:space="preserve">"LX</t>
    </r>
    <r>
      <rPr>
        <b val="true"/>
        <sz val="10"/>
        <color rgb="FFB5541E"/>
        <rFont val="Noto Sans CJK SC"/>
        <family val="2"/>
      </rPr>
      <t xml:space="preserve">하우시스 공식대리점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친환경 자재</t>
    </r>
    <r>
      <rPr>
        <b val="true"/>
        <sz val="10"/>
        <color rgb="FFB5541E"/>
        <rFont val="Arial"/>
        <family val="0"/>
        <charset val="1"/>
      </rPr>
      <t xml:space="preserve">" </t>
    </r>
    <r>
      <rPr>
        <b val="true"/>
        <sz val="10"/>
        <color rgb="FFB5541E"/>
        <rFont val="Noto Sans CJK SC"/>
        <family val="2"/>
      </rPr>
      <t xml:space="preserve">기능적 정체성</t>
    </r>
    <r>
      <rPr>
        <b val="true"/>
        <sz val="10"/>
        <color rgb="FFB5541E"/>
        <rFont val="Arial"/>
        <family val="0"/>
        <charset val="1"/>
      </rPr>
      <t xml:space="preserve">. </t>
    </r>
    <r>
      <rPr>
        <b val="true"/>
        <sz val="10"/>
        <color rgb="FFB5541E"/>
        <rFont val="Noto Sans CJK SC"/>
        <family val="2"/>
      </rPr>
      <t xml:space="preserve">대표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디자이너 노출 없음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슬로건은 있으나 사람이 없음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</si>
  <si>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Arial"/>
        <family val="0"/>
        <charset val="1"/>
      </rPr>
      <t xml:space="preserve">"</t>
    </r>
    <r>
      <rPr>
        <b val="true"/>
        <sz val="10"/>
        <color rgb="FF1F2A2C"/>
        <rFont val="Noto Sans CJK SC"/>
        <family val="2"/>
      </rPr>
      <t xml:space="preserve">강남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송파 실거주 리모델링 </t>
    </r>
    <r>
      <rPr>
        <b val="true"/>
        <sz val="10"/>
        <color rgb="FF1F2A2C"/>
        <rFont val="Arial"/>
        <family val="0"/>
        <charset val="1"/>
      </rPr>
      <t xml:space="preserve">+ LX</t>
    </r>
    <r>
      <rPr>
        <b val="true"/>
        <sz val="10"/>
        <color rgb="FF1F2A2C"/>
        <rFont val="Noto Sans CJK SC"/>
        <family val="2"/>
      </rPr>
      <t xml:space="preserve">지인 정품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친환경</t>
    </r>
    <r>
      <rPr>
        <b val="true"/>
        <sz val="10"/>
        <color rgb="FF1F2A2C"/>
        <rFont val="Arial"/>
        <family val="0"/>
        <charset val="1"/>
      </rPr>
      <t xml:space="preserve">" </t>
    </r>
    <r>
      <rPr>
        <b val="true"/>
        <sz val="10"/>
        <color rgb="FF1F2A2C"/>
        <rFont val="Noto Sans CJK SC"/>
        <family val="2"/>
      </rPr>
      <t xml:space="preserve">포지셔닝을 사람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대표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실장</t>
    </r>
    <r>
      <rPr>
        <b val="true"/>
        <sz val="10"/>
        <color rgb="FF1F2A2C"/>
        <rFont val="Arial"/>
        <family val="0"/>
        <charset val="1"/>
      </rPr>
      <t xml:space="preserve">)</t>
    </r>
    <r>
      <rPr>
        <b val="true"/>
        <sz val="10"/>
        <color rgb="FF1F2A2C"/>
        <rFont val="Noto Sans CJK SC"/>
        <family val="2"/>
      </rPr>
      <t xml:space="preserve">이 말하게 하기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채널명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배너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소개글 통일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</si>
  <si>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상담 접수 경로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예약제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필터링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링크 구조</t>
    </r>
  </si>
  <si>
    <r>
      <rPr>
        <sz val="10"/>
        <color rgb="FF1F2A2C"/>
        <rFont val="Noto Sans CJK SC"/>
        <family val="2"/>
      </rPr>
      <t xml:space="preserve">홈페이지 상담신청 폼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온라인 최초 문의 </t>
    </r>
    <r>
      <rPr>
        <sz val="10"/>
        <color rgb="FF1F2A2C"/>
        <rFont val="Arial"/>
        <family val="0"/>
        <charset val="1"/>
      </rPr>
      <t xml:space="preserve">only) → </t>
    </r>
    <r>
      <rPr>
        <sz val="10"/>
        <color rgb="FF1F2A2C"/>
        <rFont val="Noto Sans CJK SC"/>
        <family val="2"/>
      </rPr>
      <t xml:space="preserve">예약제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링크 </t>
    </r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개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인터뷰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상담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인스타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블로그</t>
    </r>
    <r>
      <rPr>
        <sz val="10"/>
        <color rgb="FF1F2A2C"/>
        <rFont val="Arial"/>
        <family val="0"/>
        <charset val="1"/>
      </rPr>
      <t xml:space="preserve">).</t>
    </r>
  </si>
  <si>
    <r>
      <rPr>
        <sz val="10"/>
        <color rgb="FF1F2A2C"/>
        <rFont val="Noto Sans CJK SC"/>
        <family val="2"/>
      </rPr>
      <t xml:space="preserve">더 코나 홈페이지 </t>
    </r>
    <r>
      <rPr>
        <sz val="10"/>
        <color rgb="FF1F2A2C"/>
        <rFont val="Arial"/>
        <family val="0"/>
        <charset val="1"/>
      </rPr>
      <t xml:space="preserve">RESERVATION </t>
    </r>
    <r>
      <rPr>
        <sz val="10"/>
        <color rgb="FF1F2A2C"/>
        <rFont val="Noto Sans CJK SC"/>
        <family val="2"/>
      </rPr>
      <t xml:space="preserve">폼 </t>
    </r>
    <r>
      <rPr>
        <sz val="10"/>
        <color rgb="FF1F2A2C"/>
        <rFont val="Arial"/>
        <family val="0"/>
        <charset val="1"/>
      </rPr>
      <t xml:space="preserve">only, </t>
    </r>
    <r>
      <rPr>
        <sz val="10"/>
        <color rgb="FF1F2A2C"/>
        <rFont val="Noto Sans CJK SC"/>
        <family val="2"/>
      </rPr>
      <t xml:space="preserve">부분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소액 공사 사전 거절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섭외 메일 별도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링크 </t>
    </r>
    <r>
      <rPr>
        <sz val="10"/>
        <color rgb="FF1F2A2C"/>
        <rFont val="Arial"/>
        <family val="0"/>
        <charset val="1"/>
      </rPr>
      <t xml:space="preserve">6</t>
    </r>
    <r>
      <rPr>
        <sz val="10"/>
        <color rgb="FF1F2A2C"/>
        <rFont val="Noto Sans CJK SC"/>
        <family val="2"/>
      </rPr>
      <t xml:space="preserve">개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</si>
  <si>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Tally </t>
    </r>
    <r>
      <rPr>
        <sz val="10"/>
        <color rgb="FF1F2A2C"/>
        <rFont val="Noto Sans CJK SC"/>
        <family val="2"/>
      </rPr>
      <t xml:space="preserve">견적 폼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개로 단순화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오늘의집 시공업체 등록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설명란에 사무실 </t>
    </r>
    <r>
      <rPr>
        <sz val="10"/>
        <color rgb="FF1F2A2C"/>
        <rFont val="Arial"/>
        <family val="0"/>
        <charset val="1"/>
      </rPr>
      <t xml:space="preserve">2</t>
    </r>
    <r>
      <rPr>
        <sz val="10"/>
        <color rgb="FF1F2A2C"/>
        <rFont val="Noto Sans CJK SC"/>
        <family val="2"/>
      </rPr>
      <t xml:space="preserve">곳 주소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</si>
  <si>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홈페이지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이메일 </t>
    </r>
    <r>
      <rPr>
        <sz val="10"/>
        <color rgb="FF1F2A2C"/>
        <rFont val="Arial"/>
        <family val="0"/>
        <charset val="1"/>
      </rPr>
      <t xml:space="preserve">only, "</t>
    </r>
    <r>
      <rPr>
        <sz val="10"/>
        <color rgb="FF1F2A2C"/>
        <rFont val="Noto Sans CJK SC"/>
        <family val="2"/>
      </rPr>
      <t xml:space="preserve">상담 </t>
    </r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개월 전 예약</t>
    </r>
    <r>
      <rPr>
        <sz val="10"/>
        <color rgb="FF1F2A2C"/>
        <rFont val="Arial"/>
        <family val="0"/>
        <charset val="1"/>
      </rPr>
      <t xml:space="preserve">" </t>
    </r>
    <r>
      <rPr>
        <sz val="10"/>
        <color rgb="FF1F2A2C"/>
        <rFont val="Noto Sans CJK SC"/>
        <family val="2"/>
      </rPr>
      <t xml:space="preserve">문구로 희소성 연출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링크 </t>
    </r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개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</si>
  <si>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전화 </t>
    </r>
    <r>
      <rPr>
        <b val="true"/>
        <sz val="10"/>
        <color rgb="FFB5541E"/>
        <rFont val="Arial"/>
        <family val="0"/>
        <charset val="1"/>
      </rPr>
      <t xml:space="preserve">1551-1102 + </t>
    </r>
    <r>
      <rPr>
        <b val="true"/>
        <sz val="10"/>
        <color rgb="FFB5541E"/>
        <rFont val="Noto Sans CJK SC"/>
        <family val="2"/>
      </rPr>
      <t xml:space="preserve">네이버 폼 </t>
    </r>
    <r>
      <rPr>
        <b val="true"/>
        <sz val="10"/>
        <color rgb="FFB5541E"/>
        <rFont val="Arial"/>
        <family val="0"/>
        <charset val="1"/>
      </rPr>
      <t xml:space="preserve">+ </t>
    </r>
    <r>
      <rPr>
        <b val="true"/>
        <sz val="10"/>
        <color rgb="FFB5541E"/>
        <rFont val="Noto Sans CJK SC"/>
        <family val="2"/>
      </rPr>
      <t xml:space="preserve">스마트스토어</t>
    </r>
    <r>
      <rPr>
        <b val="true"/>
        <sz val="10"/>
        <color rgb="FFB5541E"/>
        <rFont val="Arial"/>
        <family val="0"/>
        <charset val="1"/>
      </rPr>
      <t xml:space="preserve">. </t>
    </r>
    <r>
      <rPr>
        <b val="true"/>
        <sz val="10"/>
        <color rgb="FFB5541E"/>
        <rFont val="Noto Sans CJK SC"/>
        <family val="2"/>
      </rPr>
      <t xml:space="preserve">전화 중심이라 유튜브→상담 전환 데이터가 남지 않음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</si>
  <si>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유튜브 전용 상담 폼</t>
    </r>
    <r>
      <rPr>
        <b val="true"/>
        <sz val="10"/>
        <color rgb="FF1F2A2C"/>
        <rFont val="Arial"/>
        <family val="0"/>
        <charset val="1"/>
      </rPr>
      <t xml:space="preserve">(Tally/</t>
    </r>
    <r>
      <rPr>
        <b val="true"/>
        <sz val="10"/>
        <color rgb="FF1F2A2C"/>
        <rFont val="Noto Sans CJK SC"/>
        <family val="2"/>
      </rPr>
      <t xml:space="preserve">네이버 폼</t>
    </r>
    <r>
      <rPr>
        <b val="true"/>
        <sz val="10"/>
        <color rgb="FF1F2A2C"/>
        <rFont val="Arial"/>
        <family val="0"/>
        <charset val="1"/>
      </rPr>
      <t xml:space="preserve">) URL</t>
    </r>
    <r>
      <rPr>
        <b val="true"/>
        <sz val="10"/>
        <color rgb="FF1F2A2C"/>
        <rFont val="Noto Sans CJK SC"/>
        <family val="2"/>
      </rPr>
      <t xml:space="preserve">을 만들어 유입 경로 추적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영상 고정 댓글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설명란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종료 화면에 동일 </t>
    </r>
    <r>
      <rPr>
        <b val="true"/>
        <sz val="10"/>
        <color rgb="FF1F2A2C"/>
        <rFont val="Arial"/>
        <family val="0"/>
        <charset val="1"/>
      </rPr>
      <t xml:space="preserve">CTA </t>
    </r>
    <r>
      <rPr>
        <b val="true"/>
        <sz val="10"/>
        <color rgb="FF1F2A2C"/>
        <rFont val="Noto Sans CJK SC"/>
        <family val="2"/>
      </rPr>
      <t xml:space="preserve">배치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</si>
  <si>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직원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팀 구조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면허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설립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사옥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공개 정보 기준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</si>
  <si>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대표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팀원 </t>
    </r>
    <r>
      <rPr>
        <sz val="10"/>
        <color rgb="FF1F2A2C"/>
        <rFont val="Arial"/>
        <family val="0"/>
        <charset val="1"/>
      </rPr>
      <t xml:space="preserve">29</t>
    </r>
    <r>
      <rPr>
        <sz val="10"/>
        <color rgb="FF1F2A2C"/>
        <rFont val="Noto Sans CJK SC"/>
        <family val="2"/>
      </rPr>
      <t xml:space="preserve">명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디자인 </t>
    </r>
    <r>
      <rPr>
        <sz val="10"/>
        <color rgb="FF1F2A2C"/>
        <rFont val="Arial"/>
        <family val="0"/>
        <charset val="1"/>
      </rPr>
      <t xml:space="preserve">13·</t>
    </r>
    <r>
      <rPr>
        <sz val="10"/>
        <color rgb="FF1F2A2C"/>
        <rFont val="Noto Sans CJK SC"/>
        <family val="2"/>
      </rPr>
      <t xml:space="preserve">기술 </t>
    </r>
    <r>
      <rPr>
        <sz val="10"/>
        <color rgb="FF1F2A2C"/>
        <rFont val="Arial"/>
        <family val="0"/>
        <charset val="1"/>
      </rPr>
      <t xml:space="preserve">12·</t>
    </r>
    <r>
      <rPr>
        <sz val="10"/>
        <color rgb="FF1F2A2C"/>
        <rFont val="Noto Sans CJK SC"/>
        <family val="2"/>
      </rPr>
      <t xml:space="preserve">마케팅경영지원 </t>
    </r>
    <r>
      <rPr>
        <sz val="10"/>
        <color rgb="FF1F2A2C"/>
        <rFont val="Arial"/>
        <family val="0"/>
        <charset val="1"/>
      </rPr>
      <t xml:space="preserve">3·</t>
    </r>
    <r>
      <rPr>
        <sz val="10"/>
        <color rgb="FF1F2A2C"/>
        <rFont val="Noto Sans CJK SC"/>
        <family val="2"/>
      </rPr>
      <t xml:space="preserve">사업부 </t>
    </r>
    <r>
      <rPr>
        <sz val="10"/>
        <color rgb="FF1F2A2C"/>
        <rFont val="Arial"/>
        <family val="0"/>
        <charset val="1"/>
      </rPr>
      <t xml:space="preserve">1). </t>
    </r>
    <r>
      <rPr>
        <sz val="10"/>
        <color rgb="FF1F2A2C"/>
        <rFont val="Noto Sans CJK SC"/>
        <family val="2"/>
      </rPr>
      <t xml:space="preserve">실내건축공사업 면허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기술자격 </t>
    </r>
    <r>
      <rPr>
        <sz val="10"/>
        <color rgb="FF1F2A2C"/>
        <rFont val="Arial"/>
        <family val="0"/>
        <charset val="1"/>
      </rPr>
      <t xml:space="preserve">16</t>
    </r>
    <r>
      <rPr>
        <sz val="10"/>
        <color rgb="FF1F2A2C"/>
        <rFont val="Noto Sans CJK SC"/>
        <family val="2"/>
      </rPr>
      <t xml:space="preserve">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벤처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이노비즈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기업부설연구소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특허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청담 사옥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</si>
  <si>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2010</t>
    </r>
    <r>
      <rPr>
        <sz val="10"/>
        <color rgb="FF1F2A2C"/>
        <rFont val="Noto Sans CJK SC"/>
        <family val="2"/>
      </rPr>
      <t xml:space="preserve">년 스튜디오 코나 창업 → </t>
    </r>
    <r>
      <rPr>
        <sz val="10"/>
        <color rgb="FF1F2A2C"/>
        <rFont val="Arial"/>
        <family val="0"/>
        <charset val="1"/>
      </rPr>
      <t xml:space="preserve">2024</t>
    </r>
    <r>
      <rPr>
        <sz val="10"/>
        <color rgb="FF1F2A2C"/>
        <rFont val="Noto Sans CJK SC"/>
        <family val="2"/>
      </rPr>
      <t xml:space="preserve">년 더 코나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주거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의료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메디스페이스</t>
    </r>
    <r>
      <rPr>
        <sz val="10"/>
        <color rgb="FF1F2A2C"/>
        <rFont val="Arial"/>
        <family val="0"/>
        <charset val="1"/>
      </rPr>
      <t xml:space="preserve">) + </t>
    </r>
    <r>
      <rPr>
        <sz val="10"/>
        <color rgb="FF1F2A2C"/>
        <rFont val="Noto Sans CJK SC"/>
        <family val="2"/>
      </rPr>
      <t xml:space="preserve">상업 </t>
    </r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개 사업축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직원 수 비공개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</si>
  <si>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2017</t>
    </r>
    <r>
      <rPr>
        <sz val="10"/>
        <color rgb="FF1F2A2C"/>
        <rFont val="Noto Sans CJK SC"/>
        <family val="2"/>
      </rPr>
      <t xml:space="preserve">년 창업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직원 약 </t>
    </r>
    <r>
      <rPr>
        <sz val="10"/>
        <color rgb="FF1F2A2C"/>
        <rFont val="Arial"/>
        <family val="0"/>
        <charset val="1"/>
      </rPr>
      <t xml:space="preserve">20</t>
    </r>
    <r>
      <rPr>
        <sz val="10"/>
        <color rgb="FF1F2A2C"/>
        <rFont val="Noto Sans CJK SC"/>
        <family val="2"/>
      </rPr>
      <t xml:space="preserve">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연 </t>
    </r>
    <r>
      <rPr>
        <sz val="10"/>
        <color rgb="FF1F2A2C"/>
        <rFont val="Arial"/>
        <family val="0"/>
        <charset val="1"/>
      </rPr>
      <t xml:space="preserve">70</t>
    </r>
    <r>
      <rPr>
        <sz val="10"/>
        <color rgb="FF1F2A2C"/>
        <rFont val="Noto Sans CJK SC"/>
        <family val="2"/>
      </rPr>
      <t xml:space="preserve">건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월 </t>
    </r>
    <r>
      <rPr>
        <sz val="10"/>
        <color rgb="FF1F2A2C"/>
        <rFont val="Arial"/>
        <family val="0"/>
        <charset val="1"/>
      </rPr>
      <t xml:space="preserve">6~7</t>
    </r>
    <r>
      <rPr>
        <sz val="10"/>
        <color rgb="FF1F2A2C"/>
        <rFont val="Noto Sans CJK SC"/>
        <family val="2"/>
      </rPr>
      <t xml:space="preserve">건</t>
    </r>
    <r>
      <rPr>
        <sz val="10"/>
        <color rgb="FF1F2A2C"/>
        <rFont val="Arial"/>
        <family val="0"/>
        <charset val="1"/>
      </rPr>
      <t xml:space="preserve">). </t>
    </r>
    <r>
      <rPr>
        <sz val="10"/>
        <color rgb="FF1F2A2C"/>
        <rFont val="Noto Sans CJK SC"/>
        <family val="2"/>
      </rPr>
      <t xml:space="preserve">서초 사무실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광명 디자인랩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제작가구팀 보유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스타일링팀 신설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</si>
  <si>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2019</t>
    </r>
    <r>
      <rPr>
        <sz val="10"/>
        <color rgb="FF1F2A2C"/>
        <rFont val="Noto Sans CJK SC"/>
        <family val="2"/>
      </rPr>
      <t xml:space="preserve">년 설립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실내건축공사업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종합건설업 면허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벤처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기업부설연구소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메인비즈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이노비즈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단독주택 설계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시공까지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</si>
  <si>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Arial"/>
        <family val="0"/>
        <charset val="1"/>
      </rPr>
      <t xml:space="preserve">LX</t>
    </r>
    <r>
      <rPr>
        <b val="true"/>
        <sz val="10"/>
        <color rgb="FFB5541E"/>
        <rFont val="Noto Sans CJK SC"/>
        <family val="2"/>
      </rPr>
      <t xml:space="preserve">하우시스 지인 공식대리점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강남 학동로 </t>
    </r>
    <r>
      <rPr>
        <b val="true"/>
        <sz val="10"/>
        <color rgb="FFB5541E"/>
        <rFont val="Arial"/>
        <family val="0"/>
        <charset val="1"/>
      </rPr>
      <t xml:space="preserve">1~3</t>
    </r>
    <r>
      <rPr>
        <b val="true"/>
        <sz val="10"/>
        <color rgb="FFB5541E"/>
        <rFont val="Noto Sans CJK SC"/>
        <family val="2"/>
      </rPr>
      <t xml:space="preserve">층 쇼룸</t>
    </r>
    <r>
      <rPr>
        <b val="true"/>
        <sz val="10"/>
        <color rgb="FFB5541E"/>
        <rFont val="Arial"/>
        <family val="0"/>
        <charset val="1"/>
      </rPr>
      <t xml:space="preserve">. </t>
    </r>
    <r>
      <rPr>
        <b val="true"/>
        <sz val="10"/>
        <color rgb="FFB5541E"/>
        <rFont val="Noto Sans CJK SC"/>
        <family val="2"/>
      </rPr>
      <t xml:space="preserve">조직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직원 수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면허 정보가 채널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블로그에 노출되지 않음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</si>
  <si>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콘텐츠 담당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명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기획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촬영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편집 겸임</t>
    </r>
    <r>
      <rPr>
        <b val="true"/>
        <sz val="10"/>
        <color rgb="FF1F2A2C"/>
        <rFont val="Arial"/>
        <family val="0"/>
        <charset val="1"/>
      </rPr>
      <t xml:space="preserve">) </t>
    </r>
    <r>
      <rPr>
        <b val="true"/>
        <sz val="10"/>
        <color rgb="FF1F2A2C"/>
        <rFont val="Noto Sans CJK SC"/>
        <family val="2"/>
      </rPr>
      <t xml:space="preserve">지정 </t>
    </r>
    <r>
      <rPr>
        <b val="true"/>
        <sz val="10"/>
        <color rgb="FF1F2A2C"/>
        <rFont val="Arial"/>
        <family val="0"/>
        <charset val="1"/>
      </rPr>
      <t xml:space="preserve">+ </t>
    </r>
    <r>
      <rPr>
        <b val="true"/>
        <sz val="10"/>
        <color rgb="FF1F2A2C"/>
        <rFont val="Noto Sans CJK SC"/>
        <family val="2"/>
      </rPr>
      <t xml:space="preserve">외주 편집 월 </t>
    </r>
    <r>
      <rPr>
        <b val="true"/>
        <sz val="10"/>
        <color rgb="FF1F2A2C"/>
        <rFont val="Arial"/>
        <family val="0"/>
        <charset val="1"/>
      </rPr>
      <t xml:space="preserve">4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보유 면허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인증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시공팀 구성을 채널 소개와 영상 도입부에 명시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</si>
  <si>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상담→설계→시공→</t>
    </r>
    <r>
      <rPr>
        <sz val="10"/>
        <color rgb="FF1F2A2C"/>
        <rFont val="Arial"/>
        <family val="0"/>
        <charset val="1"/>
      </rPr>
      <t xml:space="preserve">AS </t>
    </r>
    <r>
      <rPr>
        <sz val="10"/>
        <color rgb="FF1F2A2C"/>
        <rFont val="Noto Sans CJK SC"/>
        <family val="2"/>
      </rPr>
      <t xml:space="preserve">프로세스 공개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블로그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인스타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책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플랫폼 연계</t>
    </r>
  </si>
  <si>
    <r>
      <rPr>
        <sz val="10"/>
        <color rgb="FF1F2A2C"/>
        <rFont val="Noto Sans CJK SC"/>
        <family val="2"/>
      </rPr>
      <t xml:space="preserve">예약 상담 → </t>
    </r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주 설계 → 매뉴얼 시공 →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년 </t>
    </r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무아공간 케어</t>
    </r>
    <r>
      <rPr>
        <sz val="10"/>
        <color rgb="FF1F2A2C"/>
        <rFont val="Arial"/>
        <family val="0"/>
        <charset val="1"/>
      </rPr>
      <t xml:space="preserve">" + </t>
    </r>
    <r>
      <rPr>
        <sz val="10"/>
        <color rgb="FF1F2A2C"/>
        <rFont val="Noto Sans CJK SC"/>
        <family val="2"/>
      </rPr>
      <t xml:space="preserve">카카오톡 </t>
    </r>
    <r>
      <rPr>
        <sz val="10"/>
        <color rgb="FF1F2A2C"/>
        <rFont val="Arial"/>
        <family val="0"/>
        <charset val="1"/>
      </rPr>
      <t xml:space="preserve">AS</t>
    </r>
    <r>
      <rPr>
        <sz val="10"/>
        <color rgb="FF1F2A2C"/>
        <rFont val="Noto Sans CJK SC"/>
        <family val="2"/>
      </rPr>
      <t xml:space="preserve">를 홈페이지에 명문화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유튜브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블로그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인스타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웹진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책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강연 연계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</si>
  <si>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유튜브 → 홈페이지 예약 단일 퍼널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블로그 </t>
    </r>
    <r>
      <rPr>
        <sz val="10"/>
        <color rgb="FF1F2A2C"/>
        <rFont val="Arial"/>
        <family val="0"/>
        <charset val="1"/>
      </rPr>
      <t xml:space="preserve">2</t>
    </r>
    <r>
      <rPr>
        <sz val="10"/>
        <color rgb="FF1F2A2C"/>
        <rFont val="Noto Sans CJK SC"/>
        <family val="2"/>
      </rPr>
      <t xml:space="preserve">개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주거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메디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인스타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브런치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영상이 곧 상담 필터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</si>
  <si>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노션 </t>
    </r>
    <r>
      <rPr>
        <sz val="10"/>
        <color rgb="FF1F2A2C"/>
        <rFont val="Arial"/>
        <family val="0"/>
        <charset val="1"/>
      </rPr>
      <t xml:space="preserve">CRM·</t>
    </r>
    <r>
      <rPr>
        <sz val="10"/>
        <color rgb="FF1F2A2C"/>
        <rFont val="Noto Sans CJK SC"/>
        <family val="2"/>
      </rPr>
      <t xml:space="preserve">공사 매뉴얼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교육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나간데이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밀라노 연수</t>
    </r>
    <r>
      <rPr>
        <sz val="10"/>
        <color rgb="FF1F2A2C"/>
        <rFont val="Arial"/>
        <family val="0"/>
        <charset val="1"/>
      </rPr>
      <t xml:space="preserve">). </t>
    </r>
    <r>
      <rPr>
        <sz val="10"/>
        <color rgb="FF1F2A2C"/>
        <rFont val="Noto Sans CJK SC"/>
        <family val="2"/>
      </rPr>
      <t xml:space="preserve">유튜브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블로그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인스타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오늘의집 </t>
    </r>
    <r>
      <rPr>
        <sz val="10"/>
        <color rgb="FF1F2A2C"/>
        <rFont val="Arial"/>
        <family val="0"/>
        <charset val="1"/>
      </rPr>
      <t xml:space="preserve">4</t>
    </r>
    <r>
      <rPr>
        <sz val="10"/>
        <color rgb="FF1F2A2C"/>
        <rFont val="Noto Sans CJK SC"/>
        <family val="2"/>
      </rPr>
      <t xml:space="preserve">채널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</si>
  <si>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Noto Sans CJK SC"/>
        <family val="2"/>
      </rPr>
      <t xml:space="preserve">홈페이지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인스타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블로그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상담 </t>
    </r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개월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수입가구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년 전 예약 등 운영 원칙을 공개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</si>
  <si>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B5541E"/>
        <rFont val="Noto Sans CJK SC"/>
        <family val="2"/>
      </rPr>
      <t xml:space="preserve">네이버 블로그 주 </t>
    </r>
    <r>
      <rPr>
        <b val="true"/>
        <sz val="10"/>
        <color rgb="FFB5541E"/>
        <rFont val="Arial"/>
        <family val="0"/>
        <charset val="1"/>
      </rPr>
      <t xml:space="preserve">3</t>
    </r>
    <r>
      <rPr>
        <b val="true"/>
        <sz val="10"/>
        <color rgb="FFB5541E"/>
        <rFont val="Noto Sans CJK SC"/>
        <family val="2"/>
      </rPr>
      <t xml:space="preserve">회</t>
    </r>
    <r>
      <rPr>
        <b val="true"/>
        <sz val="10"/>
        <color rgb="FFB5541E"/>
        <rFont val="Arial"/>
        <family val="0"/>
        <charset val="1"/>
      </rPr>
      <t xml:space="preserve">(</t>
    </r>
    <r>
      <rPr>
        <b val="true"/>
        <sz val="10"/>
        <color rgb="FFB5541E"/>
        <rFont val="Noto Sans CJK SC"/>
        <family val="2"/>
      </rPr>
      <t xml:space="preserve">월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수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금</t>
    </r>
    <r>
      <rPr>
        <b val="true"/>
        <sz val="10"/>
        <color rgb="FFB5541E"/>
        <rFont val="Arial"/>
        <family val="0"/>
        <charset val="1"/>
      </rPr>
      <t xml:space="preserve">) </t>
    </r>
    <r>
      <rPr>
        <b val="true"/>
        <sz val="10"/>
        <color rgb="FFB5541E"/>
        <rFont val="Noto Sans CJK SC"/>
        <family val="2"/>
      </rPr>
      <t xml:space="preserve">발행이 강점이나 유튜브와 주제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일정이 따로 움직임</t>
    </r>
    <r>
      <rPr>
        <b val="true"/>
        <sz val="10"/>
        <color rgb="FFB5541E"/>
        <rFont val="Arial"/>
        <family val="0"/>
        <charset val="1"/>
      </rPr>
      <t xml:space="preserve">. </t>
    </r>
    <r>
      <rPr>
        <b val="true"/>
        <sz val="10"/>
        <color rgb="FFB5541E"/>
        <rFont val="Noto Sans CJK SC"/>
        <family val="2"/>
      </rPr>
      <t xml:space="preserve">프로세스</t>
    </r>
    <r>
      <rPr>
        <b val="true"/>
        <sz val="10"/>
        <color rgb="FFB5541E"/>
        <rFont val="Arial"/>
        <family val="0"/>
        <charset val="1"/>
      </rPr>
      <t xml:space="preserve">·AS </t>
    </r>
    <r>
      <rPr>
        <b val="true"/>
        <sz val="10"/>
        <color rgb="FFB5541E"/>
        <rFont val="Noto Sans CJK SC"/>
        <family val="2"/>
      </rPr>
      <t xml:space="preserve">기준은 미공개</t>
    </r>
    <r>
      <rPr>
        <b val="true"/>
        <sz val="10"/>
        <color rgb="FFB5541E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</si>
  <si>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블로그 편성표에 유튜브를 붙여 </t>
    </r>
    <r>
      <rPr>
        <b val="true"/>
        <sz val="10"/>
        <color rgb="FF1F2A2C"/>
        <rFont val="Arial"/>
        <family val="0"/>
        <charset val="1"/>
      </rPr>
      <t xml:space="preserve">"1</t>
    </r>
    <r>
      <rPr>
        <b val="true"/>
        <sz val="10"/>
        <color rgb="FF1F2A2C"/>
        <rFont val="Noto Sans CJK SC"/>
        <family val="2"/>
      </rPr>
      <t xml:space="preserve">소재 → 블로그 </t>
    </r>
    <r>
      <rPr>
        <b val="true"/>
        <sz val="10"/>
        <color rgb="FF1F2A2C"/>
        <rFont val="Arial"/>
        <family val="0"/>
        <charset val="1"/>
      </rPr>
      <t xml:space="preserve">1 + </t>
    </r>
    <r>
      <rPr>
        <b val="true"/>
        <sz val="10"/>
        <color rgb="FF1F2A2C"/>
        <rFont val="Noto Sans CJK SC"/>
        <family val="2"/>
      </rPr>
      <t xml:space="preserve">롱폼 </t>
    </r>
    <r>
      <rPr>
        <b val="true"/>
        <sz val="10"/>
        <color rgb="FF1F2A2C"/>
        <rFont val="Arial"/>
        <family val="0"/>
        <charset val="1"/>
      </rPr>
      <t xml:space="preserve">1 + </t>
    </r>
    <r>
      <rPr>
        <b val="true"/>
        <sz val="10"/>
        <color rgb="FF1F2A2C"/>
        <rFont val="Noto Sans CJK SC"/>
        <family val="2"/>
      </rPr>
      <t xml:space="preserve">쇼츠 </t>
    </r>
    <r>
      <rPr>
        <b val="true"/>
        <sz val="10"/>
        <color rgb="FF1F2A2C"/>
        <rFont val="Arial"/>
        <family val="0"/>
        <charset val="1"/>
      </rPr>
      <t xml:space="preserve">3"</t>
    </r>
    <r>
      <rPr>
        <b val="true"/>
        <sz val="10"/>
        <color rgb="FF1F2A2C"/>
        <rFont val="Noto Sans CJK SC"/>
        <family val="2"/>
      </rPr>
      <t xml:space="preserve">로 운영</t>
    </r>
    <r>
      <rPr>
        <b val="true"/>
        <sz val="10"/>
        <color rgb="FF1F2A2C"/>
        <rFont val="Arial"/>
        <family val="0"/>
        <charset val="1"/>
      </rPr>
      <t xml:space="preserve">. </t>
    </r>
    <r>
      <rPr>
        <b val="true"/>
        <sz val="10"/>
        <color rgb="FF1F2A2C"/>
        <rFont val="Noto Sans CJK SC"/>
        <family val="2"/>
      </rPr>
      <t xml:space="preserve">상담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설계 기간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하자보증</t>
    </r>
    <r>
      <rPr>
        <b val="true"/>
        <sz val="10"/>
        <color rgb="FF1F2A2C"/>
        <rFont val="Arial"/>
        <family val="0"/>
        <charset val="1"/>
      </rPr>
      <t xml:space="preserve">·AS </t>
    </r>
    <r>
      <rPr>
        <b val="true"/>
        <sz val="10"/>
        <color rgb="FF1F2A2C"/>
        <rFont val="Noto Sans CJK SC"/>
        <family val="2"/>
      </rPr>
      <t xml:space="preserve">기한을 수치로 공개</t>
    </r>
    <r>
      <rPr>
        <b val="true"/>
        <sz val="10"/>
        <color rgb="FF1F2A2C"/>
        <rFont val="Arial"/>
        <family val="0"/>
        <charset val="1"/>
      </rPr>
      <t xml:space="preserve">.</t>
    </r>
  </si>
  <si>
    <r>
      <rPr>
        <b val="true"/>
        <sz val="16"/>
        <color rgb="FF1F2A2C"/>
        <rFont val="Noto Sans CJK SC"/>
        <family val="2"/>
      </rPr>
      <t xml:space="preserve">제목 패턴 수치 </t>
    </r>
    <r>
      <rPr>
        <b val="true"/>
        <sz val="16"/>
        <color rgb="FF1F2A2C"/>
        <rFont val="Arial"/>
        <family val="0"/>
        <charset val="1"/>
      </rPr>
      <t xml:space="preserve">(</t>
    </r>
    <r>
      <rPr>
        <b val="true"/>
        <sz val="16"/>
        <color rgb="FF1F2A2C"/>
        <rFont val="Noto Sans CJK SC"/>
        <family val="2"/>
      </rPr>
      <t xml:space="preserve">최신순 표본 기준</t>
    </r>
    <r>
      <rPr>
        <b val="true"/>
        <sz val="16"/>
        <color rgb="FF1F2A2C"/>
        <rFont val="Arial"/>
        <family val="0"/>
        <charset val="1"/>
      </rPr>
      <t xml:space="preserve">, </t>
    </r>
    <r>
      <rPr>
        <b val="true"/>
        <sz val="16"/>
        <color rgb="FF1F2A2C"/>
        <rFont val="Noto Sans CJK SC"/>
        <family val="2"/>
      </rPr>
      <t xml:space="preserve">비율 </t>
    </r>
    <r>
      <rPr>
        <b val="true"/>
        <sz val="16"/>
        <color rgb="FF1F2A2C"/>
        <rFont val="Arial"/>
        <family val="0"/>
        <charset val="1"/>
      </rPr>
      <t xml:space="preserve">= </t>
    </r>
    <r>
      <rPr>
        <b val="true"/>
        <sz val="16"/>
        <color rgb="FF1F2A2C"/>
        <rFont val="Noto Sans CJK SC"/>
        <family val="2"/>
      </rPr>
      <t xml:space="preserve">해당 패턴이 들어간 제목의 비중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</si>
  <si>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파란 글씨 </t>
    </r>
    <r>
      <rPr>
        <sz val="10"/>
        <color rgb="FF6B7775"/>
        <rFont val="Arial"/>
        <family val="0"/>
        <charset val="1"/>
      </rPr>
      <t xml:space="preserve">= </t>
    </r>
    <r>
      <rPr>
        <sz val="10"/>
        <color rgb="FF6B7775"/>
        <rFont val="Noto Sans CJK SC"/>
        <family val="2"/>
      </rPr>
      <t xml:space="preserve">수집 값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오른쪽 열은 공간이엔지 − 경쟁 평균</t>
    </r>
    <r>
      <rPr>
        <sz val="10"/>
        <color rgb="FF6B7775"/>
        <rFont val="Arial"/>
        <family val="0"/>
        <charset val="1"/>
      </rPr>
      <t xml:space="preserve">(</t>
    </r>
    <r>
      <rPr>
        <sz val="10"/>
        <color rgb="FF6B7775"/>
        <rFont val="Noto Sans CJK SC"/>
        <family val="2"/>
      </rPr>
      <t xml:space="preserve">양수 </t>
    </r>
    <r>
      <rPr>
        <sz val="10"/>
        <color rgb="FF6B7775"/>
        <rFont val="Arial"/>
        <family val="0"/>
        <charset val="1"/>
      </rPr>
      <t xml:space="preserve">= </t>
    </r>
    <r>
      <rPr>
        <sz val="10"/>
        <color rgb="FF6B7775"/>
        <rFont val="Noto Sans CJK SC"/>
        <family val="2"/>
      </rPr>
      <t xml:space="preserve">더 많이 씀</t>
    </r>
    <r>
      <rPr>
        <sz val="10"/>
        <color rgb="FF6B7775"/>
        <rFont val="Arial"/>
        <family val="0"/>
        <charset val="1"/>
      </rPr>
      <t xml:space="preserve">).</t>
    </r>
  </si>
  <si>
    <t xml:space="preserve">패턴</t>
  </si>
  <si>
    <t xml:space="preserve">공간이엔지 − 평균</t>
  </si>
  <si>
    <r>
      <rPr>
        <b val="true"/>
        <sz val="10"/>
        <color rgb="FF1F2A2C"/>
        <rFont val="Noto Sans CJK SC"/>
        <family val="2"/>
      </rPr>
      <t xml:space="preserve">제목 평균 길이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자</t>
    </r>
    <r>
      <rPr>
        <b val="true"/>
        <sz val="10"/>
        <color rgb="FF1F2A2C"/>
        <rFont val="Arial"/>
        <family val="0"/>
        <charset val="1"/>
      </rPr>
      <t xml:space="preserve">)</t>
    </r>
  </si>
  <si>
    <t xml:space="preserve">숫자 포함</t>
  </si>
  <si>
    <r>
      <rPr>
        <b val="true"/>
        <sz val="10"/>
        <color rgb="FF1F2A2C"/>
        <rFont val="Noto Sans CJK SC"/>
        <family val="2"/>
      </rPr>
      <t xml:space="preserve">평형</t>
    </r>
    <r>
      <rPr>
        <b val="true"/>
        <sz val="10"/>
        <color rgb="FF1F2A2C"/>
        <rFont val="Arial"/>
        <family val="0"/>
        <charset val="1"/>
      </rPr>
      <t xml:space="preserve">(00</t>
    </r>
    <r>
      <rPr>
        <b val="true"/>
        <sz val="10"/>
        <color rgb="FF1F2A2C"/>
        <rFont val="Noto Sans CJK SC"/>
        <family val="2"/>
      </rPr>
      <t xml:space="preserve">평</t>
    </r>
    <r>
      <rPr>
        <b val="true"/>
        <sz val="10"/>
        <color rgb="FF1F2A2C"/>
        <rFont val="Arial"/>
        <family val="0"/>
        <charset val="1"/>
      </rPr>
      <t xml:space="preserve">) </t>
    </r>
    <r>
      <rPr>
        <b val="true"/>
        <sz val="10"/>
        <color rgb="FF1F2A2C"/>
        <rFont val="Noto Sans CJK SC"/>
        <family val="2"/>
      </rPr>
      <t xml:space="preserve">포함</t>
    </r>
  </si>
  <si>
    <r>
      <rPr>
        <b val="true"/>
        <sz val="10"/>
        <color rgb="FF1F2A2C"/>
        <rFont val="Noto Sans CJK SC"/>
        <family val="2"/>
      </rPr>
      <t xml:space="preserve">지역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단지명 포함</t>
    </r>
  </si>
  <si>
    <r>
      <rPr>
        <b val="true"/>
        <sz val="10"/>
        <color rgb="FF1F2A2C"/>
        <rFont val="Noto Sans CJK SC"/>
        <family val="2"/>
      </rPr>
      <t xml:space="preserve">후킹어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후회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절대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이유</t>
    </r>
    <r>
      <rPr>
        <b val="true"/>
        <sz val="10"/>
        <color rgb="FF1F2A2C"/>
        <rFont val="Arial"/>
        <family val="0"/>
        <charset val="1"/>
      </rPr>
      <t xml:space="preserve">·?! </t>
    </r>
    <r>
      <rPr>
        <b val="true"/>
        <sz val="10"/>
        <color rgb="FF1F2A2C"/>
        <rFont val="Noto Sans CJK SC"/>
        <family val="2"/>
      </rPr>
      <t xml:space="preserve">등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</si>
  <si>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인용구</t>
    </r>
    <r>
      <rPr>
        <b val="true"/>
        <sz val="10"/>
        <color rgb="FF1F2A2C"/>
        <rFont val="Arial"/>
        <family val="0"/>
        <charset val="1"/>
      </rPr>
      <t xml:space="preserve">("…") </t>
    </r>
    <r>
      <rPr>
        <b val="true"/>
        <sz val="10"/>
        <color rgb="FF1F2A2C"/>
        <rFont val="Noto Sans CJK SC"/>
        <family val="2"/>
      </rPr>
      <t xml:space="preserve">사용</t>
    </r>
  </si>
  <si>
    <r>
      <rPr>
        <b val="true"/>
        <sz val="10"/>
        <color rgb="FF1F2A2C"/>
        <rFont val="Noto Sans CJK SC"/>
        <family val="2"/>
      </rPr>
      <t xml:space="preserve">세로바</t>
    </r>
    <r>
      <rPr>
        <b val="true"/>
        <sz val="10"/>
        <color rgb="FF1F2A2C"/>
        <rFont val="Arial"/>
        <family val="0"/>
        <charset val="1"/>
      </rPr>
      <t xml:space="preserve">(|) </t>
    </r>
    <r>
      <rPr>
        <b val="true"/>
        <sz val="10"/>
        <color rgb="FF1F2A2C"/>
        <rFont val="Noto Sans CJK SC"/>
        <family val="2"/>
      </rPr>
      <t xml:space="preserve">구분</t>
    </r>
  </si>
  <si>
    <t xml:space="preserve">해시태그 사용</t>
  </si>
  <si>
    <t xml:space="preserve">이모지 사용</t>
  </si>
  <si>
    <t xml:space="preserve">브랜드명 태그</t>
  </si>
  <si>
    <r>
      <rPr>
        <b val="true"/>
        <sz val="10"/>
        <color rgb="FF1F2A2C"/>
        <rFont val="Noto Sans CJK SC"/>
        <family val="2"/>
      </rPr>
      <t xml:space="preserve">썸네일 구성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대표 인기 영상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편 육안 확인</t>
    </r>
    <r>
      <rPr>
        <b val="true"/>
        <sz val="10"/>
        <color rgb="FF1F2A2C"/>
        <rFont val="Arial"/>
        <family val="0"/>
        <charset val="1"/>
      </rPr>
      <t xml:space="preserve">)</t>
    </r>
  </si>
  <si>
    <t xml:space="preserve">요소</t>
  </si>
  <si>
    <t xml:space="preserve">인물 노출</t>
  </si>
  <si>
    <t xml:space="preserve">○ 대표 상반신</t>
  </si>
  <si>
    <t xml:space="preserve">○ 대표 정면</t>
  </si>
  <si>
    <r>
      <rPr>
        <sz val="10"/>
        <color rgb="FF1F2A2C"/>
        <rFont val="Arial"/>
        <family val="0"/>
        <charset val="1"/>
      </rPr>
      <t xml:space="preserve">× (</t>
    </r>
    <r>
      <rPr>
        <sz val="10"/>
        <color rgb="FF1F2A2C"/>
        <rFont val="Noto Sans CJK SC"/>
        <family val="2"/>
      </rPr>
      <t xml:space="preserve">공간만</t>
    </r>
    <r>
      <rPr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</si>
  <si>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조회수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숫자 뱃지</t>
    </r>
  </si>
  <si>
    <r>
      <rPr>
        <sz val="10"/>
        <color rgb="FF1F2A2C"/>
        <rFont val="Arial"/>
        <family val="0"/>
        <charset val="1"/>
      </rPr>
      <t xml:space="preserve">○ 130</t>
    </r>
    <r>
      <rPr>
        <sz val="10"/>
        <color rgb="FF1F2A2C"/>
        <rFont val="Noto Sans CJK SC"/>
        <family val="2"/>
      </rPr>
      <t xml:space="preserve">만뷰</t>
    </r>
  </si>
  <si>
    <r>
      <rPr>
        <sz val="10"/>
        <color rgb="FF1F2A2C"/>
        <rFont val="Arial"/>
        <family val="0"/>
        <charset val="1"/>
      </rPr>
      <t xml:space="preserve">○ 100</t>
    </r>
    <r>
      <rPr>
        <sz val="10"/>
        <color rgb="FF1F2A2C"/>
        <rFont val="Noto Sans CJK SC"/>
        <family val="2"/>
      </rPr>
      <t xml:space="preserve">만뷰</t>
    </r>
  </si>
  <si>
    <r>
      <rPr>
        <sz val="10"/>
        <color rgb="FF1F2A2C"/>
        <rFont val="Arial"/>
        <family val="0"/>
        <charset val="1"/>
      </rPr>
      <t xml:space="preserve">○ 300</t>
    </r>
    <r>
      <rPr>
        <sz val="10"/>
        <color rgb="FF1F2A2C"/>
        <rFont val="Noto Sans CJK SC"/>
        <family val="2"/>
      </rPr>
      <t xml:space="preserve">만</t>
    </r>
  </si>
  <si>
    <t xml:space="preserve">대형 카피 줄 수</t>
  </si>
  <si>
    <r>
      <rPr>
        <sz val="10"/>
        <color rgb="FF1F2A2C"/>
        <rFont val="Arial"/>
        <family val="0"/>
        <charset val="1"/>
      </rPr>
      <t xml:space="preserve">2</t>
    </r>
    <r>
      <rPr>
        <sz val="10"/>
        <color rgb="FF1F2A2C"/>
        <rFont val="Noto Sans CJK SC"/>
        <family val="2"/>
      </rPr>
      <t xml:space="preserve">줄</t>
    </r>
  </si>
  <si>
    <r>
      <rPr>
        <sz val="10"/>
        <color rgb="FF1F2A2C"/>
        <rFont val="Arial"/>
        <family val="0"/>
        <charset val="1"/>
      </rPr>
      <t xml:space="preserve">1~2</t>
    </r>
    <r>
      <rPr>
        <sz val="10"/>
        <color rgb="FF1F2A2C"/>
        <rFont val="Noto Sans CJK SC"/>
        <family val="2"/>
      </rPr>
      <t xml:space="preserve">줄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소형</t>
    </r>
    <r>
      <rPr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</si>
  <si>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B5541E"/>
        <rFont val="Arial"/>
        <family val="0"/>
        <charset val="1"/>
      </rPr>
      <t xml:space="preserve">2</t>
    </r>
    <r>
      <rPr>
        <b val="true"/>
        <sz val="10"/>
        <color rgb="FFB5541E"/>
        <rFont val="Noto Sans CJK SC"/>
        <family val="2"/>
      </rPr>
      <t xml:space="preserve">줄</t>
    </r>
    <r>
      <rPr>
        <b val="true"/>
        <sz val="10"/>
        <color rgb="FFB5541E"/>
        <rFont val="Arial"/>
        <family val="0"/>
        <charset val="1"/>
      </rPr>
      <t xml:space="preserve">(</t>
    </r>
    <r>
      <rPr>
        <b val="true"/>
        <sz val="10"/>
        <color rgb="FFB5541E"/>
        <rFont val="Noto Sans CJK SC"/>
        <family val="2"/>
      </rPr>
      <t xml:space="preserve">중형</t>
    </r>
    <r>
      <rPr>
        <b val="true"/>
        <sz val="10"/>
        <color rgb="FFB5541E"/>
        <rFont val="Arial"/>
        <family val="0"/>
        <charset val="1"/>
      </rPr>
      <t xml:space="preserve">)</t>
    </r>
  </si>
  <si>
    <t xml:space="preserve">색상 강조 키워드</t>
  </si>
  <si>
    <t xml:space="preserve">○ 노란 강조</t>
  </si>
  <si>
    <t xml:space="preserve">○ 민트 강조</t>
  </si>
  <si>
    <t xml:space="preserve">○ 빨강 강조</t>
  </si>
  <si>
    <t xml:space="preserve">○ 부분 강조</t>
  </si>
  <si>
    <t xml:space="preserve">브랜드 로고</t>
  </si>
  <si>
    <t xml:space="preserve">○ MUA</t>
  </si>
  <si>
    <t xml:space="preserve">○ HOMEFABER</t>
  </si>
  <si>
    <t xml:space="preserve">○ DESIGN SHARE</t>
  </si>
  <si>
    <t xml:space="preserve">○ 공간이엔지</t>
  </si>
  <si>
    <r>
      <rPr>
        <b val="true"/>
        <sz val="16"/>
        <color rgb="FF1F2A2C"/>
        <rFont val="Noto Sans CJK SC"/>
        <family val="2"/>
      </rPr>
      <t xml:space="preserve">콘텐츠 주제 믹스 </t>
    </r>
    <r>
      <rPr>
        <b val="true"/>
        <sz val="16"/>
        <color rgb="FF1F2A2C"/>
        <rFont val="Arial"/>
        <family val="0"/>
        <charset val="1"/>
      </rPr>
      <t xml:space="preserve">(</t>
    </r>
    <r>
      <rPr>
        <b val="true"/>
        <sz val="16"/>
        <color rgb="FF1F2A2C"/>
        <rFont val="Noto Sans CJK SC"/>
        <family val="2"/>
      </rPr>
      <t xml:space="preserve">제목 키워드 규칙 자동 분류</t>
    </r>
    <r>
      <rPr>
        <b val="true"/>
        <sz val="16"/>
        <color rgb="FF1F2A2C"/>
        <rFont val="Arial"/>
        <family val="0"/>
        <charset val="1"/>
      </rPr>
      <t xml:space="preserve">, </t>
    </r>
    <r>
      <rPr>
        <b val="true"/>
        <sz val="16"/>
        <color rgb="FF1F2A2C"/>
        <rFont val="Noto Sans CJK SC"/>
        <family val="2"/>
      </rPr>
      <t xml:space="preserve">표본 비중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</si>
  <si>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파란 글씨 </t>
    </r>
    <r>
      <rPr>
        <sz val="10"/>
        <color rgb="FF6B7775"/>
        <rFont val="Arial"/>
        <family val="0"/>
        <charset val="1"/>
      </rPr>
      <t xml:space="preserve">= </t>
    </r>
    <r>
      <rPr>
        <sz val="10"/>
        <color rgb="FF6B7775"/>
        <rFont val="Noto Sans CJK SC"/>
        <family val="2"/>
      </rPr>
      <t xml:space="preserve">분류 결과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합계 행은 수식</t>
    </r>
    <r>
      <rPr>
        <sz val="10"/>
        <color rgb="FF6B7775"/>
        <rFont val="Arial"/>
        <family val="0"/>
        <charset val="1"/>
      </rPr>
      <t xml:space="preserve">.</t>
    </r>
  </si>
  <si>
    <t xml:space="preserve">주제</t>
  </si>
  <si>
    <r>
      <rPr>
        <b val="true"/>
        <sz val="10"/>
        <color rgb="FF1F2A2C"/>
        <rFont val="Noto Sans CJK SC"/>
        <family val="2"/>
      </rPr>
      <t xml:space="preserve">시공사례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현장</t>
    </r>
  </si>
  <si>
    <r>
      <rPr>
        <b val="true"/>
        <sz val="10"/>
        <color rgb="FF1F2A2C"/>
        <rFont val="Noto Sans CJK SC"/>
        <family val="2"/>
      </rPr>
      <t xml:space="preserve">정보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노하우</t>
    </r>
  </si>
  <si>
    <r>
      <rPr>
        <b val="true"/>
        <sz val="10"/>
        <color rgb="FF1F2A2C"/>
        <rFont val="Noto Sans CJK SC"/>
        <family val="2"/>
      </rPr>
      <t xml:space="preserve">제품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자재</t>
    </r>
  </si>
  <si>
    <r>
      <rPr>
        <b val="true"/>
        <sz val="10"/>
        <color rgb="FF1F2A2C"/>
        <rFont val="Noto Sans CJK SC"/>
        <family val="2"/>
      </rPr>
      <t xml:space="preserve">고객인터뷰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후기</t>
    </r>
  </si>
  <si>
    <r>
      <rPr>
        <b val="true"/>
        <sz val="10"/>
        <color rgb="FF1F2A2C"/>
        <rFont val="Noto Sans CJK SC"/>
        <family val="2"/>
      </rPr>
      <t xml:space="preserve">인물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토크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브이로그</t>
    </r>
  </si>
  <si>
    <t xml:space="preserve">기타</t>
  </si>
  <si>
    <t xml:space="preserve">합계</t>
  </si>
  <si>
    <r>
      <rPr>
        <sz val="10"/>
        <color rgb="FF6B7775"/>
        <rFont val="Noto Sans CJK SC"/>
        <family val="2"/>
      </rPr>
      <t xml:space="preserve">주</t>
    </r>
    <r>
      <rPr>
        <sz val="10"/>
        <color rgb="FF6B7775"/>
        <rFont val="Arial"/>
        <family val="0"/>
        <charset val="1"/>
      </rPr>
      <t xml:space="preserve">: </t>
    </r>
    <r>
      <rPr>
        <sz val="10"/>
        <color rgb="FF6B7775"/>
        <rFont val="Noto Sans CJK SC"/>
        <family val="2"/>
      </rPr>
      <t xml:space="preserve">반올림으로 합계가 </t>
    </r>
    <r>
      <rPr>
        <sz val="10"/>
        <color rgb="FF6B7775"/>
        <rFont val="Arial"/>
        <family val="0"/>
        <charset val="1"/>
      </rPr>
      <t xml:space="preserve">99~101%</t>
    </r>
    <r>
      <rPr>
        <sz val="10"/>
        <color rgb="FF6B7775"/>
        <rFont val="Noto Sans CJK SC"/>
        <family val="2"/>
      </rPr>
      <t xml:space="preserve">일 수 있음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분류 규칙은 </t>
    </r>
    <r>
      <rPr>
        <sz val="10"/>
        <color rgb="FF6B7775"/>
        <rFont val="Arial"/>
        <family val="0"/>
        <charset val="1"/>
      </rPr>
      <t xml:space="preserve">"</t>
    </r>
    <r>
      <rPr>
        <sz val="10"/>
        <color rgb="FF6B7775"/>
        <rFont val="Noto Sans CJK SC"/>
        <family val="2"/>
      </rPr>
      <t xml:space="preserve">출처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기준</t>
    </r>
    <r>
      <rPr>
        <sz val="10"/>
        <color rgb="FF6B7775"/>
        <rFont val="Arial"/>
        <family val="0"/>
        <charset val="1"/>
      </rPr>
      <t xml:space="preserve">" </t>
    </r>
    <r>
      <rPr>
        <sz val="10"/>
        <color rgb="FF6B7775"/>
        <rFont val="Noto Sans CJK SC"/>
        <family val="2"/>
      </rPr>
      <t xml:space="preserve">시트 참고</t>
    </r>
    <r>
      <rPr>
        <sz val="10"/>
        <color rgb="FF6B7775"/>
        <rFont val="Arial"/>
        <family val="0"/>
        <charset val="1"/>
      </rPr>
      <t xml:space="preserve">.</t>
    </r>
  </si>
  <si>
    <r>
      <rPr>
        <b val="true"/>
        <sz val="16"/>
        <color rgb="FF1F2A2C"/>
        <rFont val="Noto Sans CJK SC"/>
        <family val="2"/>
      </rPr>
      <t xml:space="preserve">영상 기법</t>
    </r>
    <r>
      <rPr>
        <b val="true"/>
        <sz val="16"/>
        <color rgb="FF1F2A2C"/>
        <rFont val="Arial"/>
        <family val="0"/>
        <charset val="1"/>
      </rPr>
      <t xml:space="preserve">·</t>
    </r>
    <r>
      <rPr>
        <b val="true"/>
        <sz val="16"/>
        <color rgb="FF1F2A2C"/>
        <rFont val="Noto Sans CJK SC"/>
        <family val="2"/>
      </rPr>
      <t xml:space="preserve">제작 방식 비교</t>
    </r>
  </si>
  <si>
    <r>
      <rPr>
        <sz val="10"/>
        <color rgb="FF6B7775"/>
        <rFont val="Noto Sans CJK SC"/>
        <family val="2"/>
      </rPr>
      <t xml:space="preserve">인기 영상 썸네일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제목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길이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재생목록 구조를 바탕으로 정리</t>
    </r>
    <r>
      <rPr>
        <sz val="10"/>
        <color rgb="FF6B7775"/>
        <rFont val="Arial"/>
        <family val="0"/>
        <charset val="1"/>
      </rPr>
      <t xml:space="preserve">.</t>
    </r>
  </si>
  <si>
    <t xml:space="preserve">기법 항목</t>
  </si>
  <si>
    <t xml:space="preserve">출연자</t>
  </si>
  <si>
    <r>
      <rPr>
        <sz val="10"/>
        <color rgb="FF1F2A2C"/>
        <rFont val="Noto Sans CJK SC"/>
        <family val="2"/>
      </rPr>
      <t xml:space="preserve">대표 직접 출연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해설</t>
    </r>
  </si>
  <si>
    <r>
      <rPr>
        <sz val="10"/>
        <color rgb="FF1F2A2C"/>
        <rFont val="Noto Sans CJK SC"/>
        <family val="2"/>
      </rPr>
      <t xml:space="preserve">대표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인 토크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정면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</si>
  <si>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디자이너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대표 룸투어</t>
    </r>
  </si>
  <si>
    <r>
      <rPr>
        <sz val="10"/>
        <color rgb="FF1F2A2C"/>
        <rFont val="Noto Sans CJK SC"/>
        <family val="2"/>
      </rPr>
      <t xml:space="preserve">거의 없음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공간 중심</t>
    </r>
    <r>
      <rPr>
        <sz val="10"/>
        <color rgb="FF1F2A2C"/>
        <rFont val="Arial"/>
        <family val="0"/>
        <charset val="1"/>
      </rPr>
      <t xml:space="preserve">)</t>
    </r>
  </si>
  <si>
    <t xml:space="preserve">없음</t>
  </si>
  <si>
    <t xml:space="preserve">촬영 방식</t>
  </si>
  <si>
    <r>
      <rPr>
        <sz val="10"/>
        <color rgb="FF1F2A2C"/>
        <rFont val="Noto Sans CJK SC"/>
        <family val="2"/>
      </rPr>
      <t xml:space="preserve">현장 워크스루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인터뷰</t>
    </r>
  </si>
  <si>
    <r>
      <rPr>
        <sz val="10"/>
        <color rgb="FF1F2A2C"/>
        <rFont val="Noto Sans CJK SC"/>
        <family val="2"/>
      </rPr>
      <t xml:space="preserve">스튜디오 고정샷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제품 클로즈업</t>
    </r>
  </si>
  <si>
    <r>
      <rPr>
        <sz val="10"/>
        <color rgb="FF1F2A2C"/>
        <rFont val="Noto Sans CJK SC"/>
        <family val="2"/>
      </rPr>
      <t xml:space="preserve">핸드헬드 룸투어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디테일 컷</t>
    </r>
  </si>
  <si>
    <t xml:space="preserve">짐벌 시네마틱 무빙</t>
  </si>
  <si>
    <r>
      <rPr>
        <b val="true"/>
        <sz val="10"/>
        <color rgb="FFB5541E"/>
        <rFont val="Noto Sans CJK SC"/>
        <family val="2"/>
      </rPr>
      <t xml:space="preserve">패닝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고정샷 현장 스케치</t>
    </r>
  </si>
  <si>
    <t xml:space="preserve">편집 구조</t>
  </si>
  <si>
    <r>
      <rPr>
        <sz val="10"/>
        <color rgb="FF1F2A2C"/>
        <rFont val="Noto Sans CJK SC"/>
        <family val="2"/>
      </rPr>
      <t xml:space="preserve">문제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가족 불편</t>
    </r>
    <r>
      <rPr>
        <sz val="10"/>
        <color rgb="FF1F2A2C"/>
        <rFont val="Arial"/>
        <family val="0"/>
        <charset val="1"/>
      </rPr>
      <t xml:space="preserve">) → </t>
    </r>
    <r>
      <rPr>
        <sz val="10"/>
        <color rgb="FF1F2A2C"/>
        <rFont val="Noto Sans CJK SC"/>
        <family val="2"/>
      </rPr>
      <t xml:space="preserve">구조 변경 → 결과</t>
    </r>
  </si>
  <si>
    <r>
      <rPr>
        <sz val="10"/>
        <color rgb="FF1F2A2C"/>
        <rFont val="Noto Sans CJK SC"/>
        <family val="2"/>
      </rPr>
      <t xml:space="preserve">리스트형 챕터</t>
    </r>
    <r>
      <rPr>
        <sz val="10"/>
        <color rgb="FF1F2A2C"/>
        <rFont val="Arial"/>
        <family val="0"/>
        <charset val="1"/>
      </rPr>
      <t xml:space="preserve">(5</t>
    </r>
    <r>
      <rPr>
        <sz val="10"/>
        <color rgb="FF1F2A2C"/>
        <rFont val="Noto Sans CJK SC"/>
        <family val="2"/>
      </rPr>
      <t xml:space="preserve">가지</t>
    </r>
    <r>
      <rPr>
        <sz val="10"/>
        <color rgb="FF1F2A2C"/>
        <rFont val="Arial"/>
        <family val="0"/>
        <charset val="1"/>
      </rPr>
      <t xml:space="preserve">·16</t>
    </r>
    <r>
      <rPr>
        <sz val="10"/>
        <color rgb="FF1F2A2C"/>
        <rFont val="Noto Sans CJK SC"/>
        <family val="2"/>
      </rPr>
      <t xml:space="preserve">가지</t>
    </r>
    <r>
      <rPr>
        <sz val="10"/>
        <color rgb="FF1F2A2C"/>
        <rFont val="Arial"/>
        <family val="0"/>
        <charset val="1"/>
      </rPr>
      <t xml:space="preserve">) + </t>
    </r>
    <r>
      <rPr>
        <sz val="10"/>
        <color rgb="FF1F2A2C"/>
        <rFont val="Noto Sans CJK SC"/>
        <family val="2"/>
      </rPr>
      <t xml:space="preserve">반전 서사</t>
    </r>
  </si>
  <si>
    <r>
      <rPr>
        <sz val="10"/>
        <color rgb="FF1F2A2C"/>
        <rFont val="Noto Sans CJK SC"/>
        <family val="2"/>
      </rPr>
      <t xml:space="preserve">비포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포인트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후회 리뷰 문법</t>
    </r>
  </si>
  <si>
    <r>
      <rPr>
        <sz val="10"/>
        <color rgb="FF1F2A2C"/>
        <rFont val="Noto Sans CJK SC"/>
        <family val="2"/>
      </rPr>
      <t xml:space="preserve">음악 중심 무드 클립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리뷰</t>
    </r>
  </si>
  <si>
    <r>
      <rPr>
        <b val="true"/>
        <sz val="10"/>
        <color rgb="FFB5541E"/>
        <rFont val="Noto Sans CJK SC"/>
        <family val="2"/>
      </rPr>
      <t xml:space="preserve">자막 나열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서사 없음</t>
    </r>
  </si>
  <si>
    <r>
      <rPr>
        <b val="true"/>
        <sz val="10"/>
        <color rgb="FF1F2A2C"/>
        <rFont val="Noto Sans CJK SC"/>
        <family val="2"/>
      </rPr>
      <t xml:space="preserve">자막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그래픽</t>
    </r>
  </si>
  <si>
    <r>
      <rPr>
        <sz val="10"/>
        <color rgb="FF1F2A2C"/>
        <rFont val="Noto Sans CJK SC"/>
        <family val="2"/>
      </rPr>
      <t xml:space="preserve">키워드 자막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도면 오버레이</t>
    </r>
  </si>
  <si>
    <r>
      <rPr>
        <sz val="10"/>
        <color rgb="FF1F2A2C"/>
        <rFont val="Noto Sans CJK SC"/>
        <family val="2"/>
      </rPr>
      <t xml:space="preserve">대형 키워드 자막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색상 강조</t>
    </r>
  </si>
  <si>
    <r>
      <rPr>
        <sz val="10"/>
        <color rgb="FF1F2A2C"/>
        <rFont val="Noto Sans CJK SC"/>
        <family val="2"/>
      </rPr>
      <t xml:space="preserve">이모지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키워드 자막</t>
    </r>
  </si>
  <si>
    <r>
      <rPr>
        <sz val="10"/>
        <color rgb="FF1F2A2C"/>
        <rFont val="Noto Sans CJK SC"/>
        <family val="2"/>
      </rPr>
      <t xml:space="preserve">최소 자막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타이포 로고</t>
    </r>
  </si>
  <si>
    <t xml:space="preserve">흰색 기본 자막</t>
  </si>
  <si>
    <t xml:space="preserve">길이 전략</t>
  </si>
  <si>
    <r>
      <rPr>
        <sz val="10"/>
        <color rgb="FF1F2A2C"/>
        <rFont val="Arial"/>
        <family val="0"/>
        <charset val="1"/>
      </rPr>
      <t xml:space="preserve">15</t>
    </r>
    <r>
      <rPr>
        <sz val="10"/>
        <color rgb="FF1F2A2C"/>
        <rFont val="Noto Sans CJK SC"/>
        <family val="2"/>
      </rPr>
      <t xml:space="preserve">분 롱폼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쇼츠</t>
    </r>
  </si>
  <si>
    <r>
      <rPr>
        <sz val="10"/>
        <color rgb="FF1F2A2C"/>
        <rFont val="Arial"/>
        <family val="0"/>
        <charset val="1"/>
      </rPr>
      <t xml:space="preserve">20</t>
    </r>
    <r>
      <rPr>
        <sz val="10"/>
        <color rgb="FF1F2A2C"/>
        <rFont val="Noto Sans CJK SC"/>
        <family val="2"/>
      </rPr>
      <t xml:space="preserve">분 이상 롱폼</t>
    </r>
  </si>
  <si>
    <r>
      <rPr>
        <sz val="10"/>
        <color rgb="FF1F2A2C"/>
        <rFont val="Arial"/>
        <family val="0"/>
        <charset val="1"/>
      </rPr>
      <t xml:space="preserve">10</t>
    </r>
    <r>
      <rPr>
        <sz val="10"/>
        <color rgb="FF1F2A2C"/>
        <rFont val="Noto Sans CJK SC"/>
        <family val="2"/>
      </rPr>
      <t xml:space="preserve">분 리뷰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쇼츠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라이브</t>
    </r>
  </si>
  <si>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분 클립 </t>
    </r>
    <r>
      <rPr>
        <sz val="10"/>
        <color rgb="FF1F2A2C"/>
        <rFont val="Arial"/>
        <family val="0"/>
        <charset val="1"/>
      </rPr>
      <t xml:space="preserve">+ 10</t>
    </r>
    <r>
      <rPr>
        <sz val="10"/>
        <color rgb="FF1F2A2C"/>
        <rFont val="Noto Sans CJK SC"/>
        <family val="2"/>
      </rPr>
      <t xml:space="preserve">분 리뷰</t>
    </r>
  </si>
  <si>
    <r>
      <rPr>
        <b val="true"/>
        <sz val="10"/>
        <color rgb="FFB5541E"/>
        <rFont val="Arial"/>
        <family val="0"/>
        <charset val="1"/>
      </rPr>
      <t xml:space="preserve">1~3</t>
    </r>
    <r>
      <rPr>
        <b val="true"/>
        <sz val="10"/>
        <color rgb="FFB5541E"/>
        <rFont val="Noto Sans CJK SC"/>
        <family val="2"/>
      </rPr>
      <t xml:space="preserve">분 단편만</t>
    </r>
  </si>
  <si>
    <t xml:space="preserve">썸네일</t>
  </si>
  <si>
    <r>
      <rPr>
        <sz val="10"/>
        <color rgb="FF1F2A2C"/>
        <rFont val="Noto Sans CJK SC"/>
        <family val="2"/>
      </rPr>
      <t xml:space="preserve">인물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공간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조회수 뱃지</t>
    </r>
  </si>
  <si>
    <r>
      <rPr>
        <sz val="10"/>
        <color rgb="FF1F2A2C"/>
        <rFont val="Noto Sans CJK SC"/>
        <family val="2"/>
      </rPr>
      <t xml:space="preserve">인물 정면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소품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뱃지</t>
    </r>
  </si>
  <si>
    <r>
      <rPr>
        <sz val="10"/>
        <color rgb="FF1F2A2C"/>
        <rFont val="Noto Sans CJK SC"/>
        <family val="2"/>
      </rPr>
      <t xml:space="preserve">공간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대형 숫자 </t>
    </r>
    <r>
      <rPr>
        <sz val="10"/>
        <color rgb="FF1F2A2C"/>
        <rFont val="Arial"/>
        <family val="0"/>
        <charset val="1"/>
      </rPr>
      <t xml:space="preserve">+ 2</t>
    </r>
    <r>
      <rPr>
        <sz val="10"/>
        <color rgb="FF1F2A2C"/>
        <rFont val="Noto Sans CJK SC"/>
        <family val="2"/>
      </rPr>
      <t xml:space="preserve">줄 카피</t>
    </r>
  </si>
  <si>
    <r>
      <rPr>
        <sz val="10"/>
        <color rgb="FF1F2A2C"/>
        <rFont val="Noto Sans CJK SC"/>
        <family val="2"/>
      </rPr>
      <t xml:space="preserve">공간 사진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소형 카피</t>
    </r>
  </si>
  <si>
    <r>
      <rPr>
        <b val="true"/>
        <sz val="10"/>
        <color rgb="FFB5541E"/>
        <rFont val="Noto Sans CJK SC"/>
        <family val="2"/>
      </rPr>
      <t xml:space="preserve">공간 </t>
    </r>
    <r>
      <rPr>
        <b val="true"/>
        <sz val="10"/>
        <color rgb="FFB5541E"/>
        <rFont val="Arial"/>
        <family val="0"/>
        <charset val="1"/>
      </rPr>
      <t xml:space="preserve">+ </t>
    </r>
    <r>
      <rPr>
        <b val="true"/>
        <sz val="10"/>
        <color rgb="FFB5541E"/>
        <rFont val="Noto Sans CJK SC"/>
        <family val="2"/>
      </rPr>
      <t xml:space="preserve">흰 자막</t>
    </r>
  </si>
  <si>
    <t xml:space="preserve">시리즈화</t>
  </si>
  <si>
    <r>
      <rPr>
        <sz val="10"/>
        <color rgb="FF1F2A2C"/>
        <rFont val="Noto Sans CJK SC"/>
        <family val="2"/>
      </rPr>
      <t xml:space="preserve">평형별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솔루션별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고객인터뷰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인문학</t>
    </r>
  </si>
  <si>
    <r>
      <rPr>
        <sz val="10"/>
        <color rgb="FF1F2A2C"/>
        <rFont val="Noto Sans CJK SC"/>
        <family val="2"/>
      </rPr>
      <t xml:space="preserve">남의 집 구경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병원 인테리어</t>
    </r>
  </si>
  <si>
    <r>
      <rPr>
        <sz val="10"/>
        <color rgb="FF1F2A2C"/>
        <rFont val="Noto Sans CJK SC"/>
        <family val="2"/>
      </rPr>
      <t xml:space="preserve">홈파베르 리뷰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토크</t>
    </r>
  </si>
  <si>
    <r>
      <rPr>
        <sz val="10"/>
        <color rgb="FF1F2A2C"/>
        <rFont val="Noto Sans CJK SC"/>
        <family val="2"/>
      </rPr>
      <t xml:space="preserve">스튜디오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건축 프로젝트</t>
    </r>
  </si>
  <si>
    <r>
      <rPr>
        <b val="true"/>
        <sz val="10"/>
        <color rgb="FFB5541E"/>
        <rFont val="Noto Sans CJK SC"/>
        <family val="2"/>
      </rPr>
      <t xml:space="preserve">없음</t>
    </r>
    <r>
      <rPr>
        <b val="true"/>
        <sz val="10"/>
        <color rgb="FFB5541E"/>
        <rFont val="Arial"/>
        <family val="0"/>
        <charset val="1"/>
      </rPr>
      <t xml:space="preserve">(</t>
    </r>
    <r>
      <rPr>
        <b val="true"/>
        <sz val="10"/>
        <color rgb="FFB5541E"/>
        <rFont val="Noto Sans CJK SC"/>
        <family val="2"/>
      </rPr>
      <t xml:space="preserve">재생목록 미운영</t>
    </r>
    <r>
      <rPr>
        <b val="true"/>
        <sz val="10"/>
        <color rgb="FFB5541E"/>
        <rFont val="Arial"/>
        <family val="0"/>
        <charset val="1"/>
      </rPr>
      <t xml:space="preserve">)</t>
    </r>
  </si>
  <si>
    <t xml:space="preserve">CTA</t>
  </si>
  <si>
    <r>
      <rPr>
        <sz val="10"/>
        <color rgb="FF1F2A2C"/>
        <rFont val="Noto Sans CJK SC"/>
        <family val="2"/>
      </rPr>
      <t xml:space="preserve">상담신청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책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인터뷰 링크</t>
    </r>
  </si>
  <si>
    <t xml:space="preserve">홈페이지 예약 안내</t>
  </si>
  <si>
    <r>
      <rPr>
        <sz val="10"/>
        <color rgb="FF1F2A2C"/>
        <rFont val="Arial"/>
        <family val="0"/>
        <charset val="1"/>
      </rPr>
      <t xml:space="preserve">Tally </t>
    </r>
    <r>
      <rPr>
        <sz val="10"/>
        <color rgb="FF1F2A2C"/>
        <rFont val="Noto Sans CJK SC"/>
        <family val="2"/>
      </rPr>
      <t xml:space="preserve">폼</t>
    </r>
  </si>
  <si>
    <r>
      <rPr>
        <sz val="10"/>
        <color rgb="FF1F2A2C"/>
        <rFont val="Noto Sans CJK SC"/>
        <family val="2"/>
      </rPr>
      <t xml:space="preserve">홈페이지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이메일</t>
    </r>
  </si>
  <si>
    <t xml:space="preserve">전화번호 자막</t>
  </si>
  <si>
    <r>
      <rPr>
        <b val="true"/>
        <sz val="16"/>
        <color rgb="FF1F2A2C"/>
        <rFont val="Noto Sans CJK SC"/>
        <family val="2"/>
      </rPr>
      <t xml:space="preserve">채널별 인기 영상 </t>
    </r>
    <r>
      <rPr>
        <b val="true"/>
        <sz val="16"/>
        <color rgb="FF1F2A2C"/>
        <rFont val="Arial"/>
        <family val="0"/>
        <charset val="1"/>
      </rPr>
      <t xml:space="preserve">TOP 10 (</t>
    </r>
    <r>
      <rPr>
        <b val="true"/>
        <sz val="16"/>
        <color rgb="FF1F2A2C"/>
        <rFont val="Noto Sans CJK SC"/>
        <family val="2"/>
      </rPr>
      <t xml:space="preserve">인기순 탭 기준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</si>
  <si>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조회수는 유튜브 표기</t>
    </r>
    <r>
      <rPr>
        <sz val="10"/>
        <color rgb="FF6B7775"/>
        <rFont val="Arial"/>
        <family val="0"/>
        <charset val="1"/>
      </rPr>
      <t xml:space="preserve">(</t>
    </r>
    <r>
      <rPr>
        <sz val="10"/>
        <color rgb="FF6B7775"/>
        <rFont val="Noto Sans CJK SC"/>
        <family val="2"/>
      </rPr>
      <t xml:space="preserve">만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천 단위</t>
    </r>
    <r>
      <rPr>
        <sz val="10"/>
        <color rgb="FF6B7775"/>
        <rFont val="Arial"/>
        <family val="0"/>
        <charset val="1"/>
      </rPr>
      <t xml:space="preserve">)</t>
    </r>
    <r>
      <rPr>
        <sz val="10"/>
        <color rgb="FF6B7775"/>
        <rFont val="Noto Sans CJK SC"/>
        <family val="2"/>
      </rPr>
      <t xml:space="preserve">를 숫자로 환산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길이는 분 단위 수식</t>
    </r>
    <r>
      <rPr>
        <sz val="10"/>
        <color rgb="FF6B7775"/>
        <rFont val="Arial"/>
        <family val="0"/>
        <charset val="1"/>
      </rPr>
      <t xml:space="preserve">.</t>
    </r>
  </si>
  <si>
    <t xml:space="preserve">채널</t>
  </si>
  <si>
    <t xml:space="preserve">순위</t>
  </si>
  <si>
    <t xml:space="preserve">제목</t>
  </si>
  <si>
    <t xml:space="preserve">조회수</t>
  </si>
  <si>
    <r>
      <rPr>
        <b val="true"/>
        <sz val="10"/>
        <color rgb="FFFFFFFF"/>
        <rFont val="Noto Sans CJK SC"/>
        <family val="2"/>
      </rPr>
      <t xml:space="preserve">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</si>
  <si>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</si>
  <si>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업로드 경과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</si>
  <si>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유형</t>
  </si>
  <si>
    <r>
      <rPr>
        <sz val="10"/>
        <color rgb="FF1F2A2C"/>
        <rFont val="Noto Sans CJK SC"/>
        <family val="2"/>
      </rPr>
      <t xml:space="preserve">우리집도 좁은데 가능할까요</t>
    </r>
    <r>
      <rPr>
        <sz val="10"/>
        <color rgb="FF1F2A2C"/>
        <rFont val="Arial"/>
        <family val="0"/>
        <charset val="1"/>
      </rPr>
      <t xml:space="preserve">? #15</t>
    </r>
    <r>
      <rPr>
        <sz val="10"/>
        <color rgb="FF1F2A2C"/>
        <rFont val="Noto Sans CJK SC"/>
        <family val="2"/>
      </rPr>
      <t xml:space="preserve">평인테리어 </t>
    </r>
    <r>
      <rPr>
        <sz val="10"/>
        <color rgb="FF1F2A2C"/>
        <rFont val="Arial"/>
        <family val="0"/>
        <charset val="1"/>
      </rPr>
      <t xml:space="preserve">#4</t>
    </r>
    <r>
      <rPr>
        <sz val="10"/>
        <color rgb="FF1F2A2C"/>
        <rFont val="Noto Sans CJK SC"/>
        <family val="2"/>
      </rPr>
      <t xml:space="preserve">인가족</t>
    </r>
  </si>
  <si>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노하우</t>
    </r>
  </si>
  <si>
    <r>
      <rPr>
        <sz val="10"/>
        <color rgb="FF1F2A2C"/>
        <rFont val="Noto Sans CJK SC"/>
        <family val="2"/>
      </rPr>
      <t xml:space="preserve">자녀들이 만족할 배치 공식 얻어가세요</t>
    </r>
    <r>
      <rPr>
        <sz val="10"/>
        <color rgb="FF1F2A2C"/>
        <rFont val="Arial"/>
        <family val="0"/>
        <charset val="1"/>
      </rPr>
      <t xml:space="preserve">! #</t>
    </r>
    <r>
      <rPr>
        <sz val="10"/>
        <color rgb="FF1F2A2C"/>
        <rFont val="Noto Sans CJK SC"/>
        <family val="2"/>
      </rPr>
      <t xml:space="preserve">자녀방인테리어</t>
    </r>
  </si>
  <si>
    <r>
      <rPr>
        <sz val="10"/>
        <color rgb="FF1F2A2C"/>
        <rFont val="Noto Sans CJK SC"/>
        <family val="2"/>
      </rPr>
      <t xml:space="preserve">고객인터뷰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후기</t>
    </r>
  </si>
  <si>
    <r>
      <rPr>
        <sz val="10"/>
        <color rgb="FF1F2A2C"/>
        <rFont val="Noto Sans CJK SC"/>
        <family val="2"/>
      </rPr>
      <t xml:space="preserve">인테리어꿀팁</t>
    </r>
    <r>
      <rPr>
        <sz val="10"/>
        <color rgb="FF1F2A2C"/>
        <rFont val="Arial"/>
        <family val="0"/>
        <charset val="1"/>
      </rPr>
      <t xml:space="preserve">! </t>
    </r>
    <r>
      <rPr>
        <sz val="10"/>
        <color rgb="FF1F2A2C"/>
        <rFont val="Noto Sans CJK SC"/>
        <family val="2"/>
      </rPr>
      <t xml:space="preserve">발코니확장 없이 실용성과 깔끔함 챙기는 방법</t>
    </r>
    <r>
      <rPr>
        <sz val="10"/>
        <color rgb="FF1F2A2C"/>
        <rFont val="Arial"/>
        <family val="0"/>
        <charset val="1"/>
      </rPr>
      <t xml:space="preserve">!</t>
    </r>
  </si>
  <si>
    <r>
      <rPr>
        <sz val="10"/>
        <color rgb="FF1F2A2C"/>
        <rFont val="Arial"/>
        <family val="0"/>
        <charset val="1"/>
      </rPr>
      <t xml:space="preserve">(ENG) </t>
    </r>
    <r>
      <rPr>
        <sz val="10"/>
        <color rgb="FF1F2A2C"/>
        <rFont val="Noto Sans CJK SC"/>
        <family val="2"/>
      </rPr>
      <t xml:space="preserve">좁은 거실주방인테리어</t>
    </r>
    <r>
      <rPr>
        <sz val="10"/>
        <color rgb="FF1F2A2C"/>
        <rFont val="Arial"/>
        <family val="0"/>
        <charset val="1"/>
      </rPr>
      <t xml:space="preserve">, 1cm</t>
    </r>
    <r>
      <rPr>
        <sz val="10"/>
        <color rgb="FF1F2A2C"/>
        <rFont val="Noto Sans CJK SC"/>
        <family val="2"/>
      </rPr>
      <t xml:space="preserve">도 낭비없는 공간배치로 효율성 </t>
    </r>
    <r>
      <rPr>
        <sz val="10"/>
        <color rgb="FF1F2A2C"/>
        <rFont val="Arial"/>
        <family val="0"/>
        <charset val="1"/>
      </rPr>
      <t xml:space="preserve">UP! (</t>
    </r>
    <r>
      <rPr>
        <sz val="10"/>
        <color rgb="FF1F2A2C"/>
        <rFont val="Noto Sans CJK SC"/>
        <family val="2"/>
      </rPr>
      <t xml:space="preserve">예쁨은 당연</t>
    </r>
    <r>
      <rPr>
        <sz val="10"/>
        <color rgb="FF1F2A2C"/>
        <rFont val="Arial"/>
        <family val="0"/>
        <charset val="1"/>
      </rPr>
      <t xml:space="preserve">~)</t>
    </r>
  </si>
  <si>
    <r>
      <rPr>
        <sz val="10"/>
        <color rgb="FF1F2A2C"/>
        <rFont val="Noto Sans CJK SC"/>
        <family val="2"/>
      </rPr>
      <t xml:space="preserve">테라스인테리어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부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고급리조트 부럽지 않은 홈캉스</t>
    </r>
    <r>
      <rPr>
        <sz val="10"/>
        <color rgb="FF1F2A2C"/>
        <rFont val="Arial"/>
        <family val="0"/>
        <charset val="1"/>
      </rPr>
      <t xml:space="preserve">! (</t>
    </r>
    <r>
      <rPr>
        <sz val="10"/>
        <color rgb="FF1F2A2C"/>
        <rFont val="Noto Sans CJK SC"/>
        <family val="2"/>
      </rPr>
      <t xml:space="preserve">데크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난간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캐노피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식재 꿀팁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</si>
  <si>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거실인테리어 꿀팁</t>
    </r>
    <r>
      <rPr>
        <sz val="10"/>
        <color rgb="FF1F2A2C"/>
        <rFont val="Arial"/>
        <family val="0"/>
        <charset val="1"/>
      </rPr>
      <t xml:space="preserve">, TV </t>
    </r>
    <r>
      <rPr>
        <sz val="10"/>
        <color rgb="FF1F2A2C"/>
        <rFont val="Noto Sans CJK SC"/>
        <family val="2"/>
      </rPr>
      <t xml:space="preserve">소파 배치 고민이라면 따라해보세요</t>
    </r>
    <r>
      <rPr>
        <sz val="10"/>
        <color rgb="FF1F2A2C"/>
        <rFont val="Arial"/>
        <family val="0"/>
        <charset val="1"/>
      </rPr>
      <t xml:space="preserve">! </t>
    </r>
    <r>
      <rPr>
        <sz val="10"/>
        <color rgb="FF1F2A2C"/>
        <rFont val="Noto Sans CJK SC"/>
        <family val="2"/>
      </rPr>
      <t xml:space="preserve">노하우 대방출</t>
    </r>
    <r>
      <rPr>
        <sz val="10"/>
        <color rgb="FF1F2A2C"/>
        <rFont val="Arial"/>
        <family val="0"/>
        <charset val="1"/>
      </rPr>
      <t xml:space="preserve">!</t>
    </r>
  </si>
  <si>
    <r>
      <rPr>
        <sz val="10"/>
        <color rgb="FF1F2A2C"/>
        <rFont val="Noto Sans CJK SC"/>
        <family val="2"/>
      </rPr>
      <t xml:space="preserve">좁은현관인테리어</t>
    </r>
    <r>
      <rPr>
        <sz val="10"/>
        <color rgb="FF1F2A2C"/>
        <rFont val="Arial"/>
        <family val="0"/>
        <charset val="1"/>
      </rPr>
      <t xml:space="preserve">, 40</t>
    </r>
    <r>
      <rPr>
        <sz val="10"/>
        <color rgb="FF1F2A2C"/>
        <rFont val="Noto Sans CJK SC"/>
        <family val="2"/>
      </rPr>
      <t xml:space="preserve">년된아파트에 비좁기까지</t>
    </r>
    <r>
      <rPr>
        <sz val="10"/>
        <color rgb="FF1F2A2C"/>
        <rFont val="Arial"/>
        <family val="0"/>
        <charset val="1"/>
      </rPr>
      <t xml:space="preserve">.. </t>
    </r>
    <r>
      <rPr>
        <sz val="10"/>
        <color rgb="FF1F2A2C"/>
        <rFont val="Noto Sans CJK SC"/>
        <family val="2"/>
      </rPr>
      <t xml:space="preserve">중문이 필요할까</t>
    </r>
    <r>
      <rPr>
        <sz val="10"/>
        <color rgb="FF1F2A2C"/>
        <rFont val="Arial"/>
        <family val="0"/>
        <charset val="1"/>
      </rPr>
      <t xml:space="preserve">?</t>
    </r>
  </si>
  <si>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평대인테리어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주방거실 알차게 만드는 필승 공식</t>
    </r>
  </si>
  <si>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평대에 </t>
    </r>
    <r>
      <rPr>
        <sz val="10"/>
        <color rgb="FF1F2A2C"/>
        <rFont val="Arial"/>
        <family val="0"/>
        <charset val="1"/>
      </rPr>
      <t xml:space="preserve">6</t>
    </r>
    <r>
      <rPr>
        <sz val="10"/>
        <color rgb="FF1F2A2C"/>
        <rFont val="Noto Sans CJK SC"/>
        <family val="2"/>
      </rPr>
      <t xml:space="preserve">인용 대형식탁 가능할까…</t>
    </r>
    <r>
      <rPr>
        <sz val="10"/>
        <color rgb="FF1F2A2C"/>
        <rFont val="Arial"/>
        <family val="0"/>
        <charset val="1"/>
      </rPr>
      <t xml:space="preserve">? #30</t>
    </r>
    <r>
      <rPr>
        <sz val="10"/>
        <color rgb="FF1F2A2C"/>
        <rFont val="Noto Sans CJK SC"/>
        <family val="2"/>
      </rPr>
      <t xml:space="preserve">평대인테리어 </t>
    </r>
    <r>
      <rPr>
        <sz val="10"/>
        <color rgb="FF1F2A2C"/>
        <rFont val="Arial"/>
        <family val="0"/>
        <charset val="1"/>
      </rPr>
      <t xml:space="preserve">#</t>
    </r>
    <r>
      <rPr>
        <sz val="10"/>
        <color rgb="FF1F2A2C"/>
        <rFont val="Noto Sans CJK SC"/>
        <family val="2"/>
      </rPr>
      <t xml:space="preserve">식탁배치</t>
    </r>
  </si>
  <si>
    <r>
      <rPr>
        <sz val="10"/>
        <color rgb="FF1F2A2C"/>
        <rFont val="Noto Sans CJK SC"/>
        <family val="2"/>
      </rPr>
      <t xml:space="preserve">좁고 긴 주방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이거 돈 받고 알려줘야 하는 건데</t>
    </r>
    <r>
      <rPr>
        <sz val="10"/>
        <color rgb="FF1F2A2C"/>
        <rFont val="Arial"/>
        <family val="0"/>
        <charset val="1"/>
      </rPr>
      <t xml:space="preserve">.. #</t>
    </r>
    <r>
      <rPr>
        <sz val="10"/>
        <color rgb="FF1F2A2C"/>
        <rFont val="Noto Sans CJK SC"/>
        <family val="2"/>
      </rPr>
      <t xml:space="preserve">주방인테리어 </t>
    </r>
    <r>
      <rPr>
        <sz val="10"/>
        <color rgb="FF1F2A2C"/>
        <rFont val="Arial"/>
        <family val="0"/>
        <charset val="1"/>
      </rPr>
      <t xml:space="preserve">#</t>
    </r>
    <r>
      <rPr>
        <sz val="10"/>
        <color rgb="FF1F2A2C"/>
        <rFont val="Noto Sans CJK SC"/>
        <family val="2"/>
      </rPr>
      <t xml:space="preserve">좁은주방</t>
    </r>
  </si>
  <si>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만원</t>
    </r>
    <r>
      <rPr>
        <sz val="10"/>
        <color rgb="FF1F2A2C"/>
        <rFont val="Arial"/>
        <family val="0"/>
        <charset val="1"/>
      </rPr>
      <t xml:space="preserve">~10</t>
    </r>
    <r>
      <rPr>
        <sz val="10"/>
        <color rgb="FF1F2A2C"/>
        <rFont val="Noto Sans CJK SC"/>
        <family val="2"/>
      </rPr>
      <t xml:space="preserve">만원 가격대별 센스있는 고급 선물 추천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에르메스도 가능하다고</t>
    </r>
    <r>
      <rPr>
        <sz val="10"/>
        <color rgb="FF1F2A2C"/>
        <rFont val="Arial"/>
        <family val="0"/>
        <charset val="1"/>
      </rPr>
      <t xml:space="preserve">?</t>
    </r>
  </si>
  <si>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저희 집이면 절대 안 하죠…” 인테리어 전문가가 폭로하는 집을 망치는 인테리어 </t>
    </r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가지</t>
    </r>
  </si>
  <si>
    <r>
      <rPr>
        <sz val="10"/>
        <color rgb="FF1F2A2C"/>
        <rFont val="Noto Sans CJK SC"/>
        <family val="2"/>
      </rPr>
      <t xml:space="preserve">예산이 </t>
    </r>
    <r>
      <rPr>
        <sz val="10"/>
        <color rgb="FF1F2A2C"/>
        <rFont val="Arial"/>
        <family val="0"/>
        <charset val="1"/>
      </rPr>
      <t xml:space="preserve">1000</t>
    </r>
    <r>
      <rPr>
        <sz val="10"/>
        <color rgb="FF1F2A2C"/>
        <rFont val="Noto Sans CJK SC"/>
        <family val="2"/>
      </rPr>
      <t xml:space="preserve">만원</t>
    </r>
    <r>
      <rPr>
        <sz val="10"/>
        <color rgb="FF1F2A2C"/>
        <rFont val="Arial"/>
        <family val="0"/>
        <charset val="1"/>
      </rPr>
      <t xml:space="preserve">!? </t>
    </r>
    <r>
      <rPr>
        <sz val="10"/>
        <color rgb="FF1F2A2C"/>
        <rFont val="Noto Sans CJK SC"/>
        <family val="2"/>
      </rPr>
      <t xml:space="preserve">가장 효율적인 가성비 인테리어 </t>
    </r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가지</t>
    </r>
  </si>
  <si>
    <r>
      <rPr>
        <sz val="10"/>
        <color rgb="FF1F2A2C"/>
        <rFont val="Noto Sans CJK SC"/>
        <family val="2"/>
      </rPr>
      <t xml:space="preserve">누구나 당할수 있는 인테리어 사기 유형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인테리어 사기 안당하는 방법</t>
    </r>
  </si>
  <si>
    <t xml:space="preserve">이 영상 보기 전에 싱크대 교체하지 마세요ㅠㅠ</t>
  </si>
  <si>
    <r>
      <rPr>
        <sz val="10"/>
        <color rgb="FF1F2A2C"/>
        <rFont val="Noto Sans CJK SC"/>
        <family val="2"/>
      </rPr>
      <t xml:space="preserve">제품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자재</t>
    </r>
  </si>
  <si>
    <r>
      <rPr>
        <sz val="10"/>
        <color rgb="FF1F2A2C"/>
        <rFont val="Noto Sans CJK SC"/>
        <family val="2"/>
      </rPr>
      <t xml:space="preserve">전국에서 가장 비싼 아파트 한남더힐에는 누가 살까</t>
    </r>
    <r>
      <rPr>
        <sz val="10"/>
        <color rgb="FF1F2A2C"/>
        <rFont val="Arial"/>
        <family val="0"/>
        <charset val="1"/>
      </rPr>
      <t xml:space="preserve">? | </t>
    </r>
    <r>
      <rPr>
        <sz val="10"/>
        <color rgb="FF1F2A2C"/>
        <rFont val="Noto Sans CJK SC"/>
        <family val="2"/>
      </rPr>
      <t xml:space="preserve">용산구 한남동 </t>
    </r>
    <r>
      <rPr>
        <sz val="10"/>
        <color rgb="FF1F2A2C"/>
        <rFont val="Arial"/>
        <family val="0"/>
        <charset val="1"/>
      </rPr>
      <t xml:space="preserve">85</t>
    </r>
    <r>
      <rPr>
        <sz val="10"/>
        <color rgb="FF1F2A2C"/>
        <rFont val="Noto Sans CJK SC"/>
        <family val="2"/>
      </rPr>
      <t xml:space="preserve">평 아파트 랜선집들이</t>
    </r>
    <r>
      <rPr>
        <sz val="10"/>
        <color rgb="FF1F2A2C"/>
        <rFont val="Arial"/>
        <family val="0"/>
        <charset val="1"/>
      </rPr>
      <t xml:space="preserve">! (</t>
    </r>
    <r>
      <rPr>
        <sz val="10"/>
        <color rgb="FF1F2A2C"/>
        <rFont val="Noto Sans CJK SC"/>
        <family val="2"/>
      </rPr>
      <t xml:space="preserve">청담동 성형외과 르로제의원 김혜윤 원장님의 집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</si>
  <si>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대한민국 </t>
    </r>
    <r>
      <rPr>
        <sz val="10"/>
        <color rgb="FF1F2A2C"/>
        <rFont val="Arial"/>
        <family val="0"/>
        <charset val="1"/>
      </rPr>
      <t xml:space="preserve">0.1% </t>
    </r>
    <r>
      <rPr>
        <sz val="10"/>
        <color rgb="FF1F2A2C"/>
        <rFont val="Noto Sans CJK SC"/>
        <family val="2"/>
      </rPr>
      <t xml:space="preserve">아파트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도곡동 타워팰리스</t>
    </r>
    <r>
      <rPr>
        <sz val="10"/>
        <color rgb="FF1F2A2C"/>
        <rFont val="Arial"/>
        <family val="0"/>
        <charset val="1"/>
      </rPr>
      <t xml:space="preserve">3</t>
    </r>
    <r>
      <rPr>
        <sz val="10"/>
        <color rgb="FF1F2A2C"/>
        <rFont val="Noto Sans CJK SC"/>
        <family val="2"/>
      </rPr>
      <t xml:space="preserve">차 </t>
    </r>
    <r>
      <rPr>
        <sz val="10"/>
        <color rgb="FF1F2A2C"/>
        <rFont val="Arial"/>
        <family val="0"/>
        <charset val="1"/>
      </rPr>
      <t xml:space="preserve">66</t>
    </r>
    <r>
      <rPr>
        <sz val="10"/>
        <color rgb="FF1F2A2C"/>
        <rFont val="Noto Sans CJK SC"/>
        <family val="2"/>
      </rPr>
      <t xml:space="preserve">평형 내부 랜선 집들이 </t>
    </r>
    <r>
      <rPr>
        <sz val="10"/>
        <color rgb="FF1F2A2C"/>
        <rFont val="Arial"/>
        <family val="0"/>
        <charset val="1"/>
      </rPr>
      <t xml:space="preserve">(feat.</t>
    </r>
    <r>
      <rPr>
        <sz val="10"/>
        <color rgb="FF1F2A2C"/>
        <rFont val="Noto Sans CJK SC"/>
        <family val="2"/>
      </rPr>
      <t xml:space="preserve">파노라마 뷰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</si>
  <si>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시공사례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현장</t>
    </r>
  </si>
  <si>
    <r>
      <rPr>
        <sz val="10"/>
        <color rgb="FF1F2A2C"/>
        <rFont val="Noto Sans CJK SC"/>
        <family val="2"/>
      </rPr>
      <t xml:space="preserve">바닥재로 마루만 깔 이유가 전혀 없습니다</t>
    </r>
    <r>
      <rPr>
        <sz val="10"/>
        <color rgb="FF1F2A2C"/>
        <rFont val="Arial"/>
        <family val="0"/>
        <charset val="1"/>
      </rPr>
      <t xml:space="preserve">! </t>
    </r>
    <r>
      <rPr>
        <sz val="10"/>
        <color rgb="FF1F2A2C"/>
        <rFont val="Noto Sans CJK SC"/>
        <family val="2"/>
      </rPr>
      <t xml:space="preserve">마루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타일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장판 고민 할 시간에 이 영상 하나만 보면 해결</t>
    </r>
    <r>
      <rPr>
        <sz val="10"/>
        <color rgb="FF1F2A2C"/>
        <rFont val="Arial"/>
        <family val="0"/>
        <charset val="1"/>
      </rPr>
      <t xml:space="preserve">!</t>
    </r>
  </si>
  <si>
    <r>
      <rPr>
        <sz val="10"/>
        <color rgb="FF1F2A2C"/>
        <rFont val="Noto Sans CJK SC"/>
        <family val="2"/>
      </rPr>
      <t xml:space="preserve">꼭 해야하는 새 아파트 옵션 </t>
    </r>
    <r>
      <rPr>
        <sz val="10"/>
        <color rgb="FF1F2A2C"/>
        <rFont val="Arial"/>
        <family val="0"/>
        <charset val="1"/>
      </rPr>
      <t xml:space="preserve">12</t>
    </r>
    <r>
      <rPr>
        <sz val="10"/>
        <color rgb="FF1F2A2C"/>
        <rFont val="Noto Sans CJK SC"/>
        <family val="2"/>
      </rPr>
      <t xml:space="preserve">가지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분양 아파트 들어가는데 이걸 놓쳐서 후회하더라고요…</t>
    </r>
  </si>
  <si>
    <r>
      <rPr>
        <sz val="10"/>
        <color rgb="FF1F2A2C"/>
        <rFont val="Noto Sans CJK SC"/>
        <family val="2"/>
      </rPr>
      <t xml:space="preserve">오래된 건물에 </t>
    </r>
    <r>
      <rPr>
        <sz val="10"/>
        <color rgb="FF1F2A2C"/>
        <rFont val="Arial"/>
        <family val="0"/>
        <charset val="1"/>
      </rPr>
      <t xml:space="preserve">'</t>
    </r>
    <r>
      <rPr>
        <sz val="10"/>
        <color rgb="FF1F2A2C"/>
        <rFont val="Noto Sans CJK SC"/>
        <family val="2"/>
      </rPr>
      <t xml:space="preserve">이거’ 하면 인생이 피곤해집니다…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구축아파트에 절대 하면 안되는 인테리어 </t>
    </r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가지</t>
    </r>
  </si>
  <si>
    <r>
      <rPr>
        <sz val="10"/>
        <color rgb="FF1F2A2C"/>
        <rFont val="Noto Sans CJK SC"/>
        <family val="2"/>
      </rPr>
      <t xml:space="preserve">인물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토크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브이로그</t>
    </r>
  </si>
  <si>
    <r>
      <rPr>
        <sz val="10"/>
        <color rgb="FF1F2A2C"/>
        <rFont val="Noto Sans CJK SC"/>
        <family val="2"/>
      </rPr>
      <t xml:space="preserve">모두가 살고싶은 집🏡 따라하면 무조건 성공하는 </t>
    </r>
    <r>
      <rPr>
        <sz val="10"/>
        <color rgb="FF1F2A2C"/>
        <rFont val="Arial"/>
        <family val="0"/>
        <charset val="1"/>
      </rPr>
      <t xml:space="preserve">'</t>
    </r>
    <r>
      <rPr>
        <sz val="10"/>
        <color rgb="FF1F2A2C"/>
        <rFont val="Noto Sans CJK SC"/>
        <family val="2"/>
      </rPr>
      <t xml:space="preserve">국민평형</t>
    </r>
    <r>
      <rPr>
        <sz val="10"/>
        <color rgb="FF1F2A2C"/>
        <rFont val="Arial"/>
        <family val="0"/>
        <charset val="1"/>
      </rPr>
      <t xml:space="preserve">' 32</t>
    </r>
    <r>
      <rPr>
        <sz val="10"/>
        <color rgb="FF1F2A2C"/>
        <rFont val="Noto Sans CJK SC"/>
        <family val="2"/>
      </rPr>
      <t xml:space="preserve">평 아파트 인테리어 </t>
    </r>
    <r>
      <rPr>
        <sz val="10"/>
        <color rgb="FF1F2A2C"/>
        <rFont val="Arial"/>
        <family val="0"/>
        <charset val="1"/>
      </rPr>
      <t xml:space="preserve">(Feat. </t>
    </r>
    <r>
      <rPr>
        <sz val="10"/>
        <color rgb="FF1F2A2C"/>
        <rFont val="Noto Sans CJK SC"/>
        <family val="2"/>
      </rPr>
      <t xml:space="preserve">인쇼 플랫 그레이</t>
    </r>
    <r>
      <rPr>
        <sz val="10"/>
        <color rgb="FF1F2A2C"/>
        <rFont val="Arial"/>
        <family val="0"/>
        <charset val="1"/>
      </rPr>
      <t xml:space="preserve">) │ </t>
    </r>
    <r>
      <rPr>
        <sz val="10"/>
        <color rgb="FF1F2A2C"/>
        <rFont val="Noto Sans CJK SC"/>
        <family val="2"/>
      </rPr>
      <t xml:space="preserve">홈파베르</t>
    </r>
  </si>
  <si>
    <r>
      <rPr>
        <sz val="10"/>
        <color rgb="FF1F2A2C"/>
        <rFont val="Noto Sans CJK SC"/>
        <family val="2"/>
      </rPr>
      <t xml:space="preserve">우드</t>
    </r>
    <r>
      <rPr>
        <sz val="10"/>
        <color rgb="FF1F2A2C"/>
        <rFont val="Arial"/>
        <family val="0"/>
        <charset val="1"/>
      </rPr>
      <t xml:space="preserve">&amp;</t>
    </r>
    <r>
      <rPr>
        <sz val="10"/>
        <color rgb="FF1F2A2C"/>
        <rFont val="Noto Sans CJK SC"/>
        <family val="2"/>
      </rPr>
      <t xml:space="preserve">화이트 인테리어</t>
    </r>
    <r>
      <rPr>
        <sz val="10"/>
        <color rgb="FF1F2A2C"/>
        <rFont val="Arial"/>
        <family val="0"/>
        <charset val="1"/>
      </rPr>
      <t xml:space="preserve">, 3</t>
    </r>
    <r>
      <rPr>
        <sz val="10"/>
        <color rgb="FF1F2A2C"/>
        <rFont val="Noto Sans CJK SC"/>
        <family val="2"/>
      </rPr>
      <t xml:space="preserve">가지를 반드시 지켜야 예쁜 집이 됩니다🏠 │ 역대급 </t>
    </r>
    <r>
      <rPr>
        <sz val="10"/>
        <color rgb="FF1F2A2C"/>
        <rFont val="Arial"/>
        <family val="0"/>
        <charset val="1"/>
      </rPr>
      <t xml:space="preserve">40</t>
    </r>
    <r>
      <rPr>
        <sz val="10"/>
        <color rgb="FF1F2A2C"/>
        <rFont val="Noto Sans CJK SC"/>
        <family val="2"/>
      </rPr>
      <t xml:space="preserve">평대 인테리어 리뷰 </t>
    </r>
    <r>
      <rPr>
        <sz val="10"/>
        <color rgb="FF1F2A2C"/>
        <rFont val="Arial"/>
        <family val="0"/>
        <charset val="1"/>
      </rPr>
      <t xml:space="preserve">(feat. </t>
    </r>
    <r>
      <rPr>
        <sz val="10"/>
        <color rgb="FF1F2A2C"/>
        <rFont val="Noto Sans CJK SC"/>
        <family val="2"/>
      </rPr>
      <t xml:space="preserve">오픈하우스</t>
    </r>
    <r>
      <rPr>
        <sz val="10"/>
        <color rgb="FF1F2A2C"/>
        <rFont val="Arial"/>
        <family val="0"/>
        <charset val="1"/>
      </rPr>
      <t xml:space="preserve">) │ </t>
    </r>
    <r>
      <rPr>
        <sz val="10"/>
        <color rgb="FF1F2A2C"/>
        <rFont val="Noto Sans CJK SC"/>
        <family val="2"/>
      </rPr>
      <t xml:space="preserve">홈파베르</t>
    </r>
  </si>
  <si>
    <r>
      <rPr>
        <sz val="10"/>
        <color rgb="FF1F2A2C"/>
        <rFont val="Noto Sans CJK SC"/>
        <family val="2"/>
      </rPr>
      <t xml:space="preserve">집이 호텔보다 좋은 이유☝️</t>
    </r>
    <r>
      <rPr>
        <sz val="10"/>
        <color rgb="FF1F2A2C"/>
        <rFont val="Arial"/>
        <family val="0"/>
        <charset val="1"/>
      </rPr>
      <t xml:space="preserve">40</t>
    </r>
    <r>
      <rPr>
        <sz val="10"/>
        <color rgb="FF1F2A2C"/>
        <rFont val="Noto Sans CJK SC"/>
        <family val="2"/>
      </rPr>
      <t xml:space="preserve">평대 인테리어 이것으로 고급스럽게 바꾸기🪄 분위기를 만드는 대면형 주방 리모델링🍷 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산본 </t>
    </r>
    <r>
      <rPr>
        <sz val="10"/>
        <color rgb="FF1F2A2C"/>
        <rFont val="Arial"/>
        <family val="0"/>
        <charset val="1"/>
      </rPr>
      <t xml:space="preserve">43</t>
    </r>
    <r>
      <rPr>
        <sz val="10"/>
        <color rgb="FF1F2A2C"/>
        <rFont val="Noto Sans CJK SC"/>
        <family val="2"/>
      </rPr>
      <t xml:space="preserve">평 아파트 인테리어 리뷰</t>
    </r>
    <r>
      <rPr>
        <sz val="10"/>
        <color rgb="FF1F2A2C"/>
        <rFont val="Arial"/>
        <family val="0"/>
        <charset val="1"/>
      </rPr>
      <t xml:space="preserve">) | </t>
    </r>
    <r>
      <rPr>
        <sz val="10"/>
        <color rgb="FF1F2A2C"/>
        <rFont val="Noto Sans CJK SC"/>
        <family val="2"/>
      </rPr>
      <t xml:space="preserve">홈파베르</t>
    </r>
  </si>
  <si>
    <r>
      <rPr>
        <sz val="10"/>
        <color rgb="FF1F2A2C"/>
        <rFont val="Noto Sans CJK SC"/>
        <family val="2"/>
      </rPr>
      <t xml:space="preserve">다시는 안합니다❌ 인테리어 대표 </t>
    </r>
    <r>
      <rPr>
        <sz val="10"/>
        <color rgb="FF1F2A2C"/>
        <rFont val="Arial"/>
        <family val="0"/>
        <charset val="1"/>
      </rPr>
      <t xml:space="preserve">4</t>
    </r>
    <r>
      <rPr>
        <sz val="10"/>
        <color rgb="FF1F2A2C"/>
        <rFont val="Noto Sans CJK SC"/>
        <family val="2"/>
      </rPr>
      <t xml:space="preserve">년 살고 후회한 인테리어🙅‍♂️ </t>
    </r>
    <r>
      <rPr>
        <sz val="10"/>
        <color rgb="FF1F2A2C"/>
        <rFont val="Arial"/>
        <family val="0"/>
        <charset val="1"/>
      </rPr>
      <t xml:space="preserve">vs </t>
    </r>
    <r>
      <rPr>
        <sz val="10"/>
        <color rgb="FF1F2A2C"/>
        <rFont val="Noto Sans CJK SC"/>
        <family val="2"/>
      </rPr>
      <t xml:space="preserve">좋았던 포인트 솔직공개🙆‍♀️ 신혼집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주방템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욕실템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정수기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조명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후드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냉장고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홈파베르</t>
    </r>
  </si>
  <si>
    <r>
      <rPr>
        <sz val="10"/>
        <color rgb="FF1F2A2C"/>
        <rFont val="Noto Sans CJK SC"/>
        <family val="2"/>
      </rPr>
      <t xml:space="preserve">인테리어 준비 중이라면 🚨일단 보세요🚨</t>
    </r>
    <r>
      <rPr>
        <sz val="10"/>
        <color rgb="FF1F2A2C"/>
        <rFont val="Arial"/>
        <family val="0"/>
        <charset val="1"/>
      </rPr>
      <t xml:space="preserve">10</t>
    </r>
    <r>
      <rPr>
        <sz val="10"/>
        <color rgb="FF1F2A2C"/>
        <rFont val="Noto Sans CJK SC"/>
        <family val="2"/>
      </rPr>
      <t xml:space="preserve">년 후에도 후회없는 인테리어 체크리스트✅ 욕실 확장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현관 확장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수전 높이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단열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창호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스위치 정리ㅣ홈파베르</t>
    </r>
  </si>
  <si>
    <r>
      <rPr>
        <sz val="10"/>
        <color rgb="FF1F2A2C"/>
        <rFont val="Arial"/>
        <family val="0"/>
        <charset val="1"/>
      </rPr>
      <t xml:space="preserve">2026 </t>
    </r>
    <r>
      <rPr>
        <sz val="10"/>
        <color rgb="FF1F2A2C"/>
        <rFont val="Noto Sans CJK SC"/>
        <family val="2"/>
      </rPr>
      <t xml:space="preserve">욕실 인테리어 견적서🛀🏻│저가형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가성비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고급형 욕실 추천 제품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시공 방법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상세견적까지✍️ 후회 없는 화장실 리모델링 정답지 최신버전 공개합니다🏠│홈파베르</t>
    </r>
  </si>
  <si>
    <r>
      <rPr>
        <sz val="10"/>
        <color rgb="FF1F2A2C"/>
        <rFont val="Noto Sans CJK SC"/>
        <family val="2"/>
      </rPr>
      <t xml:space="preserve">싱글남의 로망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구축 </t>
    </r>
    <r>
      <rPr>
        <sz val="10"/>
        <color rgb="FF1F2A2C"/>
        <rFont val="Arial"/>
        <family val="0"/>
        <charset val="1"/>
      </rPr>
      <t xml:space="preserve">22</t>
    </r>
    <r>
      <rPr>
        <sz val="10"/>
        <color rgb="FF1F2A2C"/>
        <rFont val="Noto Sans CJK SC"/>
        <family val="2"/>
      </rPr>
      <t xml:space="preserve">평 투베이를 오직 한 사람을 위해 다시 설계했습니다｜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인 가구 맞춤 인테리어｜전농우성아파트</t>
    </r>
  </si>
  <si>
    <r>
      <rPr>
        <sz val="10"/>
        <color rgb="FF1F2A2C"/>
        <rFont val="Noto Sans CJK SC"/>
        <family val="2"/>
      </rPr>
      <t xml:space="preserve">🪄전문가가 작정하고 만든 화장실 인테리어 가이드🛀🏻│추천 제품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시공 방법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상세견적서까지✍️  절대 후회하지 않는 욕실 리모델링 정답지 공개합니다🏠│홈파베르</t>
    </r>
  </si>
  <si>
    <r>
      <rPr>
        <sz val="10"/>
        <color rgb="FF1F2A2C"/>
        <rFont val="Noto Sans CJK SC"/>
        <family val="2"/>
      </rPr>
      <t xml:space="preserve">우드</t>
    </r>
    <r>
      <rPr>
        <sz val="10"/>
        <color rgb="FF1F2A2C"/>
        <rFont val="Arial"/>
        <family val="0"/>
        <charset val="1"/>
      </rPr>
      <t xml:space="preserve">&amp;</t>
    </r>
    <r>
      <rPr>
        <sz val="10"/>
        <color rgb="FF1F2A2C"/>
        <rFont val="Noto Sans CJK SC"/>
        <family val="2"/>
      </rPr>
      <t xml:space="preserve">화이트 인테리어🏠 고급스러움 살리기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이 포인트면 끝</t>
    </r>
    <r>
      <rPr>
        <sz val="10"/>
        <color rgb="FF1F2A2C"/>
        <rFont val="Arial"/>
        <family val="0"/>
        <charset val="1"/>
      </rPr>
      <t xml:space="preserve">!? (</t>
    </r>
    <r>
      <rPr>
        <sz val="10"/>
        <color rgb="FF1F2A2C"/>
        <rFont val="Noto Sans CJK SC"/>
        <family val="2"/>
      </rPr>
      <t xml:space="preserve">서울숲 </t>
    </r>
    <r>
      <rPr>
        <sz val="10"/>
        <color rgb="FF1F2A2C"/>
        <rFont val="Arial"/>
        <family val="0"/>
        <charset val="1"/>
      </rPr>
      <t xml:space="preserve">34</t>
    </r>
    <r>
      <rPr>
        <sz val="10"/>
        <color rgb="FF1F2A2C"/>
        <rFont val="Noto Sans CJK SC"/>
        <family val="2"/>
      </rPr>
      <t xml:space="preserve">평 </t>
    </r>
    <r>
      <rPr>
        <sz val="10"/>
        <color rgb="FF1F2A2C"/>
        <rFont val="Arial"/>
        <family val="0"/>
        <charset val="1"/>
      </rPr>
      <t xml:space="preserve">APT </t>
    </r>
    <r>
      <rPr>
        <sz val="10"/>
        <color rgb="FF1F2A2C"/>
        <rFont val="Noto Sans CJK SC"/>
        <family val="2"/>
      </rPr>
      <t xml:space="preserve">랜선집들이</t>
    </r>
    <r>
      <rPr>
        <sz val="10"/>
        <color rgb="FF1F2A2C"/>
        <rFont val="Arial"/>
        <family val="0"/>
        <charset val="1"/>
      </rPr>
      <t xml:space="preserve">)│</t>
    </r>
    <r>
      <rPr>
        <sz val="10"/>
        <color rgb="FF1F2A2C"/>
        <rFont val="Noto Sans CJK SC"/>
        <family val="2"/>
      </rPr>
      <t xml:space="preserve">홈파베르</t>
    </r>
  </si>
  <si>
    <r>
      <rPr>
        <sz val="10"/>
        <color rgb="FF1F2A2C"/>
        <rFont val="Noto Sans CJK SC"/>
        <family val="2"/>
      </rPr>
      <t xml:space="preserve">전문가가 알려주는 후회 폭발 주방인테리어 </t>
    </r>
    <r>
      <rPr>
        <sz val="10"/>
        <color rgb="FF1F2A2C"/>
        <rFont val="Arial"/>
        <family val="0"/>
        <charset val="1"/>
      </rPr>
      <t xml:space="preserve">10</t>
    </r>
    <r>
      <rPr>
        <sz val="10"/>
        <color rgb="FF1F2A2C"/>
        <rFont val="Noto Sans CJK SC"/>
        <family val="2"/>
      </rPr>
      <t xml:space="preserve">가지 🍽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싱크대 냉장고 후드 타일 팬트리 추천💡 배치 노하우 비용까지☝️ 주방 인테리어 성공 방법🪄 이것만 외우세요</t>
    </r>
    <r>
      <rPr>
        <sz val="10"/>
        <color rgb="FF1F2A2C"/>
        <rFont val="Arial"/>
        <family val="0"/>
        <charset val="1"/>
      </rPr>
      <t xml:space="preserve">! | </t>
    </r>
    <r>
      <rPr>
        <sz val="10"/>
        <color rgb="FF1F2A2C"/>
        <rFont val="Noto Sans CJK SC"/>
        <family val="2"/>
      </rPr>
      <t xml:space="preserve">홈파베르</t>
    </r>
  </si>
  <si>
    <r>
      <rPr>
        <sz val="10"/>
        <color rgb="FF1F2A2C"/>
        <rFont val="Noto Sans CJK SC"/>
        <family val="2"/>
      </rPr>
      <t xml:space="preserve">주방</t>
    </r>
    <r>
      <rPr>
        <sz val="10"/>
        <color rgb="FF1F2A2C"/>
        <rFont val="Arial"/>
        <family val="0"/>
        <charset val="1"/>
      </rPr>
      <t xml:space="preserve">,</t>
    </r>
    <r>
      <rPr>
        <sz val="10"/>
        <color rgb="FF1F2A2C"/>
        <rFont val="Noto Sans CJK SC"/>
        <family val="2"/>
      </rPr>
      <t xml:space="preserve">거실이 강조된 유럽형 레이아웃 현장리뷰</t>
    </r>
    <r>
      <rPr>
        <sz val="10"/>
        <color rgb="FF1F2A2C"/>
        <rFont val="Arial"/>
        <family val="0"/>
        <charset val="1"/>
      </rPr>
      <t xml:space="preserve">!!(Feat.</t>
    </r>
    <r>
      <rPr>
        <sz val="10"/>
        <color rgb="FF1F2A2C"/>
        <rFont val="Noto Sans CJK SC"/>
        <family val="2"/>
      </rPr>
      <t xml:space="preserve">리뷰영상</t>
    </r>
    <r>
      <rPr>
        <sz val="10"/>
        <color rgb="FF1F2A2C"/>
        <rFont val="Arial"/>
        <family val="0"/>
        <charset val="1"/>
      </rPr>
      <t xml:space="preserve">)</t>
    </r>
  </si>
  <si>
    <t xml:space="preserve">대면형 주방의 단점 이렇게 보완하세요｜동탄메타폴리스 인테리어｜디자인쉐어</t>
  </si>
  <si>
    <r>
      <rPr>
        <sz val="10"/>
        <color rgb="FF1F2A2C"/>
        <rFont val="Noto Sans CJK SC"/>
        <family val="2"/>
      </rPr>
      <t xml:space="preserve">나무와 콘크리트의 장점만 담았습니다</t>
    </r>
    <r>
      <rPr>
        <sz val="10"/>
        <color rgb="FF1F2A2C"/>
        <rFont val="Arial"/>
        <family val="0"/>
        <charset val="1"/>
      </rPr>
      <t xml:space="preserve">.  </t>
    </r>
    <r>
      <rPr>
        <sz val="10"/>
        <color rgb="FF1F2A2C"/>
        <rFont val="Noto Sans CJK SC"/>
        <family val="2"/>
      </rPr>
      <t xml:space="preserve">양평 단독주택 건축 프로젝트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디자인쉐어</t>
    </r>
  </si>
  <si>
    <r>
      <rPr>
        <sz val="10"/>
        <color rgb="FF1F2A2C"/>
        <rFont val="Noto Sans CJK SC"/>
        <family val="2"/>
      </rPr>
      <t xml:space="preserve">강아지를 위한 하이엔드 인테리어</t>
    </r>
    <r>
      <rPr>
        <sz val="10"/>
        <color rgb="FF1F2A2C"/>
        <rFont val="Arial"/>
        <family val="0"/>
        <charset val="1"/>
      </rPr>
      <t xml:space="preserve">? </t>
    </r>
    <r>
      <rPr>
        <sz val="10"/>
        <color rgb="FF1F2A2C"/>
        <rFont val="Noto Sans CJK SC"/>
        <family val="2"/>
      </rPr>
      <t xml:space="preserve">사람이 더 만족했어요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광교 월드마크푸르지오 인테리어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디자인쉐어</t>
    </r>
  </si>
  <si>
    <r>
      <rPr>
        <sz val="10"/>
        <color rgb="FF1F2A2C"/>
        <rFont val="Noto Sans CJK SC"/>
        <family val="2"/>
      </rPr>
      <t xml:space="preserve">한 폭의 헛된 공간도 없도록</t>
    </r>
    <r>
      <rPr>
        <sz val="10"/>
        <color rgb="FF1F2A2C"/>
        <rFont val="Arial"/>
        <family val="0"/>
        <charset val="1"/>
      </rPr>
      <t xml:space="preserve">, 33</t>
    </r>
    <r>
      <rPr>
        <sz val="10"/>
        <color rgb="FF1F2A2C"/>
        <rFont val="Noto Sans CJK SC"/>
        <family val="2"/>
      </rPr>
      <t xml:space="preserve">평 국민평형 아파트인테리어 </t>
    </r>
    <r>
      <rPr>
        <sz val="10"/>
        <color rgb="FF1F2A2C"/>
        <rFont val="Arial"/>
        <family val="0"/>
        <charset val="1"/>
      </rPr>
      <t xml:space="preserve">(Feat.</t>
    </r>
    <r>
      <rPr>
        <sz val="10"/>
        <color rgb="FF1F2A2C"/>
        <rFont val="Noto Sans CJK SC"/>
        <family val="2"/>
      </rPr>
      <t xml:space="preserve">리뷰영상</t>
    </r>
    <r>
      <rPr>
        <sz val="10"/>
        <color rgb="FF1F2A2C"/>
        <rFont val="Arial"/>
        <family val="0"/>
        <charset val="1"/>
      </rPr>
      <t xml:space="preserve">) 🏠</t>
    </r>
  </si>
  <si>
    <r>
      <rPr>
        <sz val="10"/>
        <color rgb="FF1F2A2C"/>
        <rFont val="Noto Sans CJK SC"/>
        <family val="2"/>
      </rPr>
      <t xml:space="preserve">집에 영화관을 만들었습니다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강서한강자이 인테리어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디자인쉐어</t>
    </r>
  </si>
  <si>
    <r>
      <rPr>
        <sz val="10"/>
        <color rgb="FF1F2A2C"/>
        <rFont val="Noto Sans CJK SC"/>
        <family val="2"/>
      </rPr>
      <t xml:space="preserve">답없는 주방 현장 리뷰</t>
    </r>
    <r>
      <rPr>
        <sz val="10"/>
        <color rgb="FF1F2A2C"/>
        <rFont val="Arial"/>
        <family val="0"/>
        <charset val="1"/>
      </rPr>
      <t xml:space="preserve">!(Feat. </t>
    </r>
    <r>
      <rPr>
        <sz val="10"/>
        <color rgb="FF1F2A2C"/>
        <rFont val="Noto Sans CJK SC"/>
        <family val="2"/>
      </rPr>
      <t xml:space="preserve">주방거실 뒤집기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</si>
  <si>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성수동 트리마제 ✌🏻 평범함 속 특별함이 있는 하이엔드 화이트 인테리어  </t>
    </r>
    <r>
      <rPr>
        <sz val="10"/>
        <color rgb="FF1F2A2C"/>
        <rFont val="Arial"/>
        <family val="0"/>
        <charset val="1"/>
      </rPr>
      <t xml:space="preserve">(feat. </t>
    </r>
    <r>
      <rPr>
        <sz val="10"/>
        <color rgb="FF1F2A2C"/>
        <rFont val="Noto Sans CJK SC"/>
        <family val="2"/>
      </rPr>
      <t xml:space="preserve">스케치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</si>
  <si>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단독주택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샀다고 끝</t>
    </r>
    <r>
      <rPr>
        <sz val="10"/>
        <color rgb="FF1F2A2C"/>
        <rFont val="Arial"/>
        <family val="0"/>
        <charset val="1"/>
      </rPr>
      <t xml:space="preserve">? </t>
    </r>
    <r>
      <rPr>
        <sz val="10"/>
        <color rgb="FF1F2A2C"/>
        <rFont val="Noto Sans CJK SC"/>
        <family val="2"/>
      </rPr>
      <t xml:space="preserve">이제 시작입니다</t>
    </r>
    <r>
      <rPr>
        <sz val="10"/>
        <color rgb="FF1F2A2C"/>
        <rFont val="Arial"/>
        <family val="0"/>
        <charset val="1"/>
      </rPr>
      <t xml:space="preserve">. | </t>
    </r>
    <r>
      <rPr>
        <sz val="10"/>
        <color rgb="FF1F2A2C"/>
        <rFont val="Noto Sans CJK SC"/>
        <family val="2"/>
      </rPr>
      <t xml:space="preserve">판교주택 인테리어 </t>
    </r>
    <r>
      <rPr>
        <sz val="10"/>
        <color rgb="FF1F2A2C"/>
        <rFont val="Arial"/>
        <family val="0"/>
        <charset val="1"/>
      </rPr>
      <t xml:space="preserve">| </t>
    </r>
    <r>
      <rPr>
        <sz val="10"/>
        <color rgb="FF1F2A2C"/>
        <rFont val="Noto Sans CJK SC"/>
        <family val="2"/>
      </rPr>
      <t xml:space="preserve">디자인쉐어</t>
    </r>
  </si>
  <si>
    <r>
      <rPr>
        <sz val="10"/>
        <color rgb="FF1F2A2C"/>
        <rFont val="Noto Sans CJK SC"/>
        <family val="2"/>
      </rPr>
      <t xml:space="preserve">다 똑같은 </t>
    </r>
    <r>
      <rPr>
        <sz val="10"/>
        <color rgb="FF1F2A2C"/>
        <rFont val="Arial"/>
        <family val="0"/>
        <charset val="1"/>
      </rPr>
      <t xml:space="preserve">30</t>
    </r>
    <r>
      <rPr>
        <sz val="10"/>
        <color rgb="FF1F2A2C"/>
        <rFont val="Noto Sans CJK SC"/>
        <family val="2"/>
      </rPr>
      <t xml:space="preserve">평대아파트  나는 다르게 살고싶다 </t>
    </r>
    <r>
      <rPr>
        <sz val="10"/>
        <color rgb="FF1F2A2C"/>
        <rFont val="Arial"/>
        <family val="0"/>
        <charset val="1"/>
      </rPr>
      <t xml:space="preserve">(Feat. </t>
    </r>
    <r>
      <rPr>
        <sz val="10"/>
        <color rgb="FF1F2A2C"/>
        <rFont val="Noto Sans CJK SC"/>
        <family val="2"/>
      </rPr>
      <t xml:space="preserve">리뷰영상</t>
    </r>
    <r>
      <rPr>
        <sz val="10"/>
        <color rgb="FF1F2A2C"/>
        <rFont val="Arial"/>
        <family val="0"/>
        <charset val="1"/>
      </rPr>
      <t xml:space="preserve">) ❗</t>
    </r>
  </si>
  <si>
    <r>
      <rPr>
        <b val="true"/>
        <sz val="10"/>
        <color rgb="FFB5541E"/>
        <rFont val="Noto Sans CJK SC"/>
        <family val="2"/>
      </rPr>
      <t xml:space="preserve">무조건 확인해야하는 강마루보다 인기좋은 </t>
    </r>
    <r>
      <rPr>
        <b val="true"/>
        <sz val="10"/>
        <color rgb="FFB5541E"/>
        <rFont val="Arial"/>
        <family val="0"/>
        <charset val="1"/>
      </rPr>
      <t xml:space="preserve">LX</t>
    </r>
    <r>
      <rPr>
        <b val="true"/>
        <sz val="10"/>
        <color rgb="FFB5541E"/>
        <rFont val="Noto Sans CJK SC"/>
        <family val="2"/>
      </rPr>
      <t xml:space="preserve">바닥재 에디톤플로어로 시공한 현장투어</t>
    </r>
  </si>
  <si>
    <r>
      <rPr>
        <b val="true"/>
        <sz val="10"/>
        <color rgb="FFB5541E"/>
        <rFont val="Noto Sans CJK SC"/>
        <family val="2"/>
      </rPr>
      <t xml:space="preserve">제품</t>
    </r>
    <r>
      <rPr>
        <b val="true"/>
        <sz val="10"/>
        <color rgb="FFB5541E"/>
        <rFont val="Arial"/>
        <family val="0"/>
        <charset val="1"/>
      </rPr>
      <t xml:space="preserve">/</t>
    </r>
    <r>
      <rPr>
        <b val="true"/>
        <sz val="10"/>
        <color rgb="FFB5541E"/>
        <rFont val="Noto Sans CJK SC"/>
        <family val="2"/>
      </rPr>
      <t xml:space="preserve">자재</t>
    </r>
  </si>
  <si>
    <r>
      <rPr>
        <b val="true"/>
        <sz val="10"/>
        <color rgb="FFB5541E"/>
        <rFont val="Noto Sans CJK SC"/>
        <family val="2"/>
      </rPr>
      <t xml:space="preserve">벽지계의 혁명 </t>
    </r>
    <r>
      <rPr>
        <b val="true"/>
        <sz val="10"/>
        <color rgb="FFB5541E"/>
        <rFont val="Arial"/>
        <family val="0"/>
        <charset val="1"/>
      </rPr>
      <t xml:space="preserve">LX</t>
    </r>
    <r>
      <rPr>
        <b val="true"/>
        <sz val="10"/>
        <color rgb="FFB5541E"/>
        <rFont val="Noto Sans CJK SC"/>
        <family val="2"/>
      </rPr>
      <t xml:space="preserve">하우시스 디마망포티스 출시로 필름시공이 필요없는 인테리어</t>
    </r>
  </si>
  <si>
    <t xml:space="preserve">아트월과 벽지를 대신해 비용절감과 퀄리티까지 잡은 아트월계의 혁명 에디톤월맥스로 간편하게 시공하자</t>
  </si>
  <si>
    <r>
      <rPr>
        <b val="true"/>
        <sz val="10"/>
        <color rgb="FFB5541E"/>
        <rFont val="Arial"/>
        <family val="0"/>
        <charset val="1"/>
      </rPr>
      <t xml:space="preserve">1</t>
    </r>
    <r>
      <rPr>
        <b val="true"/>
        <sz val="10"/>
        <color rgb="FFB5541E"/>
        <rFont val="Noto Sans CJK SC"/>
        <family val="2"/>
      </rPr>
      <t xml:space="preserve">시간에 완성하는 에디톤 월맥스 </t>
    </r>
    <r>
      <rPr>
        <b val="true"/>
        <sz val="10"/>
        <color rgb="FFB5541E"/>
        <rFont val="Arial"/>
        <family val="0"/>
        <charset val="1"/>
      </rPr>
      <t xml:space="preserve">1</t>
    </r>
    <r>
      <rPr>
        <b val="true"/>
        <sz val="10"/>
        <color rgb="FFB5541E"/>
        <rFont val="Noto Sans CJK SC"/>
        <family val="2"/>
      </rPr>
      <t xml:space="preserve">분만에 돌려볼까요</t>
    </r>
    <r>
      <rPr>
        <b val="true"/>
        <sz val="10"/>
        <color rgb="FFB5541E"/>
        <rFont val="Arial"/>
        <family val="0"/>
        <charset val="1"/>
      </rPr>
      <t xml:space="preserve">?</t>
    </r>
  </si>
  <si>
    <r>
      <rPr>
        <b val="true"/>
        <sz val="10"/>
        <color rgb="FFB5541E"/>
        <rFont val="Noto Sans CJK SC"/>
        <family val="2"/>
      </rPr>
      <t xml:space="preserve">잠실엘스를 가장 가성비있게 진행한 현장으로 </t>
    </r>
    <r>
      <rPr>
        <b val="true"/>
        <sz val="10"/>
        <color rgb="FFB5541E"/>
        <rFont val="Arial"/>
        <family val="0"/>
        <charset val="1"/>
      </rPr>
      <t xml:space="preserve">25</t>
    </r>
    <r>
      <rPr>
        <b val="true"/>
        <sz val="10"/>
        <color rgb="FFB5541E"/>
        <rFont val="Noto Sans CJK SC"/>
        <family val="2"/>
      </rPr>
      <t xml:space="preserve">평인테리어의 진수를 보여드립니다</t>
    </r>
  </si>
  <si>
    <r>
      <rPr>
        <b val="true"/>
        <sz val="10"/>
        <color rgb="FFB5541E"/>
        <rFont val="Noto Sans CJK SC"/>
        <family val="2"/>
      </rPr>
      <t xml:space="preserve">시공사례</t>
    </r>
    <r>
      <rPr>
        <b val="true"/>
        <sz val="10"/>
        <color rgb="FFB5541E"/>
        <rFont val="Arial"/>
        <family val="0"/>
        <charset val="1"/>
      </rPr>
      <t xml:space="preserve">/</t>
    </r>
    <r>
      <rPr>
        <b val="true"/>
        <sz val="10"/>
        <color rgb="FFB5541E"/>
        <rFont val="Noto Sans CJK SC"/>
        <family val="2"/>
      </rPr>
      <t xml:space="preserve">현장</t>
    </r>
  </si>
  <si>
    <r>
      <rPr>
        <b val="true"/>
        <sz val="10"/>
        <color rgb="FFB5541E"/>
        <rFont val="Noto Sans CJK SC"/>
        <family val="2"/>
      </rPr>
      <t xml:space="preserve">강마루보다 가성비 좋고 푹신해 안심할 수 있는 바닥재 </t>
    </r>
    <r>
      <rPr>
        <b val="true"/>
        <sz val="10"/>
        <color rgb="FFB5541E"/>
        <rFont val="Arial"/>
        <family val="0"/>
        <charset val="1"/>
      </rPr>
      <t xml:space="preserve">lx</t>
    </r>
    <r>
      <rPr>
        <b val="true"/>
        <sz val="10"/>
        <color rgb="FFB5541E"/>
        <rFont val="Noto Sans CJK SC"/>
        <family val="2"/>
      </rPr>
      <t xml:space="preserve">지인 엑스컴포트로 분위기확 바뀌는 공간연출</t>
    </r>
  </si>
  <si>
    <r>
      <rPr>
        <b val="true"/>
        <sz val="10"/>
        <color rgb="FFB5541E"/>
        <rFont val="Noto Sans CJK SC"/>
        <family val="2"/>
      </rPr>
      <t xml:space="preserve">은평구 녹번</t>
    </r>
    <r>
      <rPr>
        <b val="true"/>
        <sz val="10"/>
        <color rgb="FFB5541E"/>
        <rFont val="Arial"/>
        <family val="0"/>
        <charset val="1"/>
      </rPr>
      <t xml:space="preserve">e</t>
    </r>
    <r>
      <rPr>
        <b val="true"/>
        <sz val="10"/>
        <color rgb="FFB5541E"/>
        <rFont val="Noto Sans CJK SC"/>
        <family val="2"/>
      </rPr>
      <t xml:space="preserve">편한세상 </t>
    </r>
    <r>
      <rPr>
        <b val="true"/>
        <sz val="10"/>
        <color rgb="FFB5541E"/>
        <rFont val="Arial"/>
        <family val="0"/>
        <charset val="1"/>
      </rPr>
      <t xml:space="preserve">33</t>
    </r>
    <r>
      <rPr>
        <b val="true"/>
        <sz val="10"/>
        <color rgb="FFB5541E"/>
        <rFont val="Noto Sans CJK SC"/>
        <family val="2"/>
      </rPr>
      <t xml:space="preserve">평 아파트 인테리어｜</t>
    </r>
    <r>
      <rPr>
        <b val="true"/>
        <sz val="10"/>
        <color rgb="FFB5541E"/>
        <rFont val="Arial"/>
        <family val="0"/>
        <charset val="1"/>
      </rPr>
      <t xml:space="preserve">6</t>
    </r>
    <r>
      <rPr>
        <b val="true"/>
        <sz val="10"/>
        <color rgb="FFB5541E"/>
        <rFont val="Noto Sans CJK SC"/>
        <family val="2"/>
      </rPr>
      <t xml:space="preserve">년 된 준신축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다 뜯지 않고 가성비 있게 바꾼 집</t>
    </r>
  </si>
  <si>
    <r>
      <rPr>
        <b val="true"/>
        <sz val="10"/>
        <color rgb="FFB5541E"/>
        <rFont val="Noto Sans CJK SC"/>
        <family val="2"/>
      </rPr>
      <t xml:space="preserve">단독주택 주방인테리어 어렵다구요</t>
    </r>
    <r>
      <rPr>
        <b val="true"/>
        <sz val="10"/>
        <color rgb="FFB5541E"/>
        <rFont val="Arial"/>
        <family val="0"/>
        <charset val="1"/>
      </rPr>
      <t xml:space="preserve">? </t>
    </r>
    <r>
      <rPr>
        <b val="true"/>
        <sz val="10"/>
        <color rgb="FFB5541E"/>
        <rFont val="Noto Sans CJK SC"/>
        <family val="2"/>
      </rPr>
      <t xml:space="preserve">신경쓸것 많은 단독주택인테리어의 표본을 보여드립니다</t>
    </r>
  </si>
  <si>
    <r>
      <rPr>
        <b val="true"/>
        <sz val="10"/>
        <color rgb="FFB5541E"/>
        <rFont val="Noto Sans CJK SC"/>
        <family val="2"/>
      </rPr>
      <t xml:space="preserve">연예인이 정착한 바로 그 집</t>
    </r>
    <r>
      <rPr>
        <b val="true"/>
        <sz val="10"/>
        <color rgb="FFB5541E"/>
        <rFont val="Arial"/>
        <family val="0"/>
        <charset val="1"/>
      </rPr>
      <t xml:space="preserve">! </t>
    </r>
    <r>
      <rPr>
        <b val="true"/>
        <sz val="10"/>
        <color rgb="FFB5541E"/>
        <rFont val="Noto Sans CJK SC"/>
        <family val="2"/>
      </rPr>
      <t xml:space="preserve">남양주 호평파라곤 인테리어 훔쳐보기</t>
    </r>
  </si>
  <si>
    <r>
      <rPr>
        <b val="true"/>
        <sz val="10"/>
        <color rgb="FFB5541E"/>
        <rFont val="Noto Sans CJK SC"/>
        <family val="2"/>
      </rPr>
      <t xml:space="preserve">실패없는 인테리어 꿀조합 잠실 갤러리아팰리스 </t>
    </r>
    <r>
      <rPr>
        <b val="true"/>
        <sz val="10"/>
        <color rgb="FFB5541E"/>
        <rFont val="Arial"/>
        <family val="0"/>
        <charset val="1"/>
      </rPr>
      <t xml:space="preserve">58</t>
    </r>
    <r>
      <rPr>
        <b val="true"/>
        <sz val="10"/>
        <color rgb="FFB5541E"/>
        <rFont val="Noto Sans CJK SC"/>
        <family val="2"/>
      </rPr>
      <t xml:space="preserve">평아파트</t>
    </r>
  </si>
  <si>
    <r>
      <rPr>
        <b val="true"/>
        <sz val="10"/>
        <color rgb="FFFFFFFF"/>
        <rFont val="Arial"/>
        <family val="0"/>
        <charset val="1"/>
      </rPr>
      <t xml:space="preserve">TOP10 </t>
    </r>
    <r>
      <rPr>
        <b val="true"/>
        <sz val="10"/>
        <color rgb="FFFFFFFF"/>
        <rFont val="Noto Sans CJK SC"/>
        <family val="2"/>
      </rPr>
      <t xml:space="preserve">평균 조회수</t>
    </r>
  </si>
  <si>
    <r>
      <rPr>
        <b val="true"/>
        <sz val="10"/>
        <color rgb="FFFFFFFF"/>
        <rFont val="Arial"/>
        <family val="0"/>
        <charset val="1"/>
      </rPr>
      <t xml:space="preserve">TOP10 </t>
    </r>
    <r>
      <rPr>
        <b val="true"/>
        <sz val="10"/>
        <color rgb="FFFFFFFF"/>
        <rFont val="Noto Sans CJK SC"/>
        <family val="2"/>
      </rPr>
      <t xml:space="preserve">평균 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</si>
  <si>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TOP10 </t>
    </r>
    <r>
      <rPr>
        <b val="true"/>
        <sz val="10"/>
        <color rgb="FFFFFFFF"/>
        <rFont val="Noto Sans CJK SC"/>
        <family val="2"/>
      </rPr>
      <t xml:space="preserve">중 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분 이상 편수</t>
    </r>
  </si>
  <si>
    <r>
      <rPr>
        <b val="true"/>
        <sz val="16"/>
        <color rgb="FF1F2A2C"/>
        <rFont val="Noto Sans CJK SC"/>
        <family val="2"/>
      </rPr>
      <t xml:space="preserve">회사 구성</t>
    </r>
    <r>
      <rPr>
        <b val="true"/>
        <sz val="16"/>
        <color rgb="FF1F2A2C"/>
        <rFont val="Arial"/>
        <family val="0"/>
        <charset val="1"/>
      </rPr>
      <t xml:space="preserve">·</t>
    </r>
    <r>
      <rPr>
        <b val="true"/>
        <sz val="16"/>
        <color rgb="FF1F2A2C"/>
        <rFont val="Noto Sans CJK SC"/>
        <family val="2"/>
      </rPr>
      <t xml:space="preserve">운영 방식 </t>
    </r>
    <r>
      <rPr>
        <b val="true"/>
        <sz val="16"/>
        <color rgb="FF1F2A2C"/>
        <rFont val="Arial"/>
        <family val="0"/>
        <charset val="1"/>
      </rPr>
      <t xml:space="preserve">(</t>
    </r>
    <r>
      <rPr>
        <b val="true"/>
        <sz val="16"/>
        <color rgb="FF1F2A2C"/>
        <rFont val="Noto Sans CJK SC"/>
        <family val="2"/>
      </rPr>
      <t xml:space="preserve">공개 정보 기준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</si>
  <si>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홈페이지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인터뷰 기사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채용 사이트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채널 설명란에서 확인된 사실만 기재</t>
    </r>
    <r>
      <rPr>
        <sz val="10"/>
        <color rgb="FF6B7775"/>
        <rFont val="Arial"/>
        <family val="0"/>
        <charset val="1"/>
      </rPr>
      <t xml:space="preserve">. "</t>
    </r>
    <r>
      <rPr>
        <sz val="10"/>
        <color rgb="FF6B7775"/>
        <rFont val="Noto Sans CJK SC"/>
        <family val="2"/>
      </rPr>
      <t xml:space="preserve">비공개</t>
    </r>
    <r>
      <rPr>
        <sz val="10"/>
        <color rgb="FF6B7775"/>
        <rFont val="Arial"/>
        <family val="0"/>
        <charset val="1"/>
      </rPr>
      <t xml:space="preserve">"</t>
    </r>
    <r>
      <rPr>
        <sz val="10"/>
        <color rgb="FF6B7775"/>
        <rFont val="Noto Sans CJK SC"/>
        <family val="2"/>
      </rPr>
      <t xml:space="preserve">는 확인 불가</t>
    </r>
    <r>
      <rPr>
        <sz val="10"/>
        <color rgb="FF6B7775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</si>
  <si>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법인</t>
    </r>
    <r>
      <rPr>
        <b val="true"/>
        <sz val="10"/>
        <color rgb="FF1F2A2C"/>
        <rFont val="Arial"/>
        <family val="0"/>
        <charset val="1"/>
      </rPr>
      <t xml:space="preserve">/</t>
    </r>
    <r>
      <rPr>
        <b val="true"/>
        <sz val="10"/>
        <color rgb="FF1F2A2C"/>
        <rFont val="Noto Sans CJK SC"/>
        <family val="2"/>
      </rPr>
      <t xml:space="preserve">브랜드</t>
    </r>
  </si>
  <si>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주</t>
    </r>
    <r>
      <rPr>
        <sz val="10"/>
        <color rgb="FF1F2A2C"/>
        <rFont val="Arial"/>
        <family val="0"/>
        <charset val="1"/>
      </rPr>
      <t xml:space="preserve">)</t>
    </r>
    <r>
      <rPr>
        <sz val="10"/>
        <color rgb="FF1F2A2C"/>
        <rFont val="Noto Sans CJK SC"/>
        <family val="2"/>
      </rPr>
      <t xml:space="preserve">무아공간</t>
    </r>
  </si>
  <si>
    <r>
      <rPr>
        <sz val="10"/>
        <color rgb="FF1F2A2C"/>
        <rFont val="Noto Sans CJK SC"/>
        <family val="2"/>
      </rPr>
      <t xml:space="preserve">더 코나 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구 스튜디오 코나</t>
    </r>
    <r>
      <rPr>
        <sz val="10"/>
        <color rgb="FF1F2A2C"/>
        <rFont val="Arial"/>
        <family val="0"/>
        <charset val="1"/>
      </rPr>
      <t xml:space="preserve">)</t>
    </r>
  </si>
  <si>
    <t xml:space="preserve">홈파베르디자인</t>
  </si>
  <si>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주</t>
    </r>
    <r>
      <rPr>
        <sz val="10"/>
        <color rgb="FF1F2A2C"/>
        <rFont val="Arial"/>
        <family val="0"/>
        <charset val="1"/>
      </rPr>
      <t xml:space="preserve">)</t>
    </r>
    <r>
      <rPr>
        <sz val="10"/>
        <color rgb="FF1F2A2C"/>
        <rFont val="Noto Sans CJK SC"/>
        <family val="2"/>
      </rPr>
      <t xml:space="preserve">디자인쉐어</t>
    </r>
  </si>
  <si>
    <r>
      <rPr>
        <b val="true"/>
        <sz val="10"/>
        <color rgb="FFB5541E"/>
        <rFont val="Arial"/>
        <family val="0"/>
        <charset val="1"/>
      </rPr>
      <t xml:space="preserve">(</t>
    </r>
    <r>
      <rPr>
        <b val="true"/>
        <sz val="10"/>
        <color rgb="FFB5541E"/>
        <rFont val="Noto Sans CJK SC"/>
        <family val="2"/>
      </rPr>
      <t xml:space="preserve">주</t>
    </r>
    <r>
      <rPr>
        <b val="true"/>
        <sz val="10"/>
        <color rgb="FFB5541E"/>
        <rFont val="Arial"/>
        <family val="0"/>
        <charset val="1"/>
      </rPr>
      <t xml:space="preserve">)</t>
    </r>
    <r>
      <rPr>
        <b val="true"/>
        <sz val="10"/>
        <color rgb="FFB5541E"/>
        <rFont val="Noto Sans CJK SC"/>
        <family val="2"/>
      </rPr>
      <t xml:space="preserve">공간이엔지</t>
    </r>
  </si>
  <si>
    <t xml:space="preserve">대표</t>
  </si>
  <si>
    <t xml:space="preserve">오승욱</t>
  </si>
  <si>
    <t xml:space="preserve">백예진</t>
  </si>
  <si>
    <t xml:space="preserve">윤상현</t>
  </si>
  <si>
    <t xml:space="preserve">손정우</t>
  </si>
  <si>
    <r>
      <rPr>
        <b val="true"/>
        <sz val="10"/>
        <color rgb="FFB5541E"/>
        <rFont val="Noto Sans CJK SC"/>
        <family val="2"/>
      </rPr>
      <t xml:space="preserve">미공개</t>
    </r>
    <r>
      <rPr>
        <b val="true"/>
        <sz val="10"/>
        <color rgb="FFB5541E"/>
        <rFont val="Arial"/>
        <family val="0"/>
        <charset val="1"/>
      </rPr>
      <t xml:space="preserve">(</t>
    </r>
    <r>
      <rPr>
        <b val="true"/>
        <sz val="10"/>
        <color rgb="FFB5541E"/>
        <rFont val="Noto Sans CJK SC"/>
        <family val="2"/>
      </rPr>
      <t xml:space="preserve">채널 기준</t>
    </r>
    <r>
      <rPr>
        <b val="true"/>
        <sz val="10"/>
        <color rgb="FFB5541E"/>
        <rFont val="Arial"/>
        <family val="0"/>
        <charset val="1"/>
      </rPr>
      <t xml:space="preserve">)</t>
    </r>
  </si>
  <si>
    <t xml:space="preserve">설립</t>
  </si>
  <si>
    <r>
      <rPr>
        <sz val="10"/>
        <color rgb="FF1F2A2C"/>
        <rFont val="Arial"/>
        <family val="0"/>
        <charset val="1"/>
      </rPr>
      <t xml:space="preserve">2019</t>
    </r>
    <r>
      <rPr>
        <sz val="10"/>
        <color rgb="FF1F2A2C"/>
        <rFont val="Noto Sans CJK SC"/>
        <family val="2"/>
      </rPr>
      <t xml:space="preserve">년 이전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문래 → 청담 사옥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</si>
  <si>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Arial"/>
        <family val="0"/>
        <charset val="1"/>
      </rPr>
      <t xml:space="preserve">2010</t>
    </r>
    <r>
      <rPr>
        <sz val="10"/>
        <color rgb="FF1F2A2C"/>
        <rFont val="Noto Sans CJK SC"/>
        <family val="2"/>
      </rPr>
      <t xml:space="preserve">년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스튜디오 코나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</si>
  <si>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Arial"/>
        <family val="0"/>
        <charset val="1"/>
      </rPr>
      <t xml:space="preserve">2017</t>
    </r>
    <r>
      <rPr>
        <sz val="10"/>
        <color rgb="FF1F2A2C"/>
        <rFont val="Noto Sans CJK SC"/>
        <family val="2"/>
      </rPr>
      <t xml:space="preserve">년</t>
    </r>
  </si>
  <si>
    <r>
      <rPr>
        <sz val="10"/>
        <color rgb="FF1F2A2C"/>
        <rFont val="Arial"/>
        <family val="0"/>
        <charset val="1"/>
      </rPr>
      <t xml:space="preserve">2019</t>
    </r>
    <r>
      <rPr>
        <sz val="10"/>
        <color rgb="FF1F2A2C"/>
        <rFont val="Noto Sans CJK SC"/>
        <family val="2"/>
      </rPr>
      <t xml:space="preserve">년 </t>
    </r>
    <r>
      <rPr>
        <sz val="10"/>
        <color rgb="FF1F2A2C"/>
        <rFont val="Arial"/>
        <family val="0"/>
        <charset val="1"/>
      </rPr>
      <t xml:space="preserve">12</t>
    </r>
    <r>
      <rPr>
        <sz val="10"/>
        <color rgb="FF1F2A2C"/>
        <rFont val="Noto Sans CJK SC"/>
        <family val="2"/>
      </rPr>
      <t xml:space="preserve">월</t>
    </r>
  </si>
  <si>
    <t xml:space="preserve">미공개</t>
  </si>
  <si>
    <t xml:space="preserve">유튜브 개설</t>
  </si>
  <si>
    <t xml:space="preserve">2019-03</t>
  </si>
  <si>
    <t xml:space="preserve">2023-03</t>
  </si>
  <si>
    <t xml:space="preserve">2022-02</t>
  </si>
  <si>
    <t xml:space="preserve">2021-07</t>
  </si>
  <si>
    <t xml:space="preserve">2024-01</t>
  </si>
  <si>
    <t xml:space="preserve">소재지</t>
  </si>
  <si>
    <t xml:space="preserve">서울 강남구 청담동 사옥</t>
  </si>
  <si>
    <r>
      <rPr>
        <sz val="10"/>
        <color rgb="FF1F2A2C"/>
        <rFont val="Noto Sans CJK SC"/>
        <family val="2"/>
      </rPr>
      <t xml:space="preserve">서울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평창동 등 공개 콘텐츠 기준</t>
    </r>
    <r>
      <rPr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</si>
  <si>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서초 논현로 사무실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광명 디자인랩</t>
    </r>
  </si>
  <si>
    <r>
      <rPr>
        <sz val="10"/>
        <color rgb="FF1F2A2C"/>
        <rFont val="Noto Sans CJK SC"/>
        <family val="2"/>
      </rPr>
      <t xml:space="preserve">강남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논현 키워드 </t>
    </r>
    <r>
      <rPr>
        <sz val="10"/>
        <color rgb="FF1F2A2C"/>
        <rFont val="Arial"/>
        <family val="0"/>
        <charset val="1"/>
      </rPr>
      <t xml:space="preserve">/ </t>
    </r>
    <r>
      <rPr>
        <sz val="10"/>
        <color rgb="FF1F2A2C"/>
        <rFont val="Noto Sans CJK SC"/>
        <family val="2"/>
      </rPr>
      <t xml:space="preserve">등기 주소 안산</t>
    </r>
  </si>
  <si>
    <r>
      <rPr>
        <b val="true"/>
        <sz val="10"/>
        <color rgb="FFB5541E"/>
        <rFont val="Noto Sans CJK SC"/>
        <family val="2"/>
      </rPr>
      <t xml:space="preserve">서울 강남구 학동로 </t>
    </r>
    <r>
      <rPr>
        <b val="true"/>
        <sz val="10"/>
        <color rgb="FFB5541E"/>
        <rFont val="Arial"/>
        <family val="0"/>
        <charset val="1"/>
      </rPr>
      <t xml:space="preserve">134 1~3</t>
    </r>
    <r>
      <rPr>
        <b val="true"/>
        <sz val="10"/>
        <color rgb="FFB5541E"/>
        <rFont val="Noto Sans CJK SC"/>
        <family val="2"/>
      </rPr>
      <t xml:space="preserve">층</t>
    </r>
  </si>
  <si>
    <t xml:space="preserve">조직 규모</t>
  </si>
  <si>
    <r>
      <rPr>
        <sz val="10"/>
        <color rgb="FF1F2A2C"/>
        <rFont val="Noto Sans CJK SC"/>
        <family val="2"/>
      </rPr>
      <t xml:space="preserve">팀원 </t>
    </r>
    <r>
      <rPr>
        <sz val="10"/>
        <color rgb="FF1F2A2C"/>
        <rFont val="Arial"/>
        <family val="0"/>
        <charset val="1"/>
      </rPr>
      <t xml:space="preserve">29</t>
    </r>
    <r>
      <rPr>
        <sz val="10"/>
        <color rgb="FF1F2A2C"/>
        <rFont val="Noto Sans CJK SC"/>
        <family val="2"/>
      </rPr>
      <t xml:space="preserve">명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디자인 </t>
    </r>
    <r>
      <rPr>
        <sz val="10"/>
        <color rgb="FF1F2A2C"/>
        <rFont val="Arial"/>
        <family val="0"/>
        <charset val="1"/>
      </rPr>
      <t xml:space="preserve">13·</t>
    </r>
    <r>
      <rPr>
        <sz val="10"/>
        <color rgb="FF1F2A2C"/>
        <rFont val="Noto Sans CJK SC"/>
        <family val="2"/>
      </rPr>
      <t xml:space="preserve">기술 </t>
    </r>
    <r>
      <rPr>
        <sz val="10"/>
        <color rgb="FF1F2A2C"/>
        <rFont val="Arial"/>
        <family val="0"/>
        <charset val="1"/>
      </rPr>
      <t xml:space="preserve">12·</t>
    </r>
    <r>
      <rPr>
        <sz val="10"/>
        <color rgb="FF1F2A2C"/>
        <rFont val="Noto Sans CJK SC"/>
        <family val="2"/>
      </rPr>
      <t xml:space="preserve">마케팅경영 </t>
    </r>
    <r>
      <rPr>
        <sz val="10"/>
        <color rgb="FF1F2A2C"/>
        <rFont val="Arial"/>
        <family val="0"/>
        <charset val="1"/>
      </rPr>
      <t xml:space="preserve">3·</t>
    </r>
    <r>
      <rPr>
        <sz val="10"/>
        <color rgb="FF1F2A2C"/>
        <rFont val="Noto Sans CJK SC"/>
        <family val="2"/>
      </rPr>
      <t xml:space="preserve">사업부 </t>
    </r>
    <r>
      <rPr>
        <sz val="10"/>
        <color rgb="FF1F2A2C"/>
        <rFont val="Arial"/>
        <family val="0"/>
        <charset val="1"/>
      </rPr>
      <t xml:space="preserve">1)</t>
    </r>
  </si>
  <si>
    <t xml:space="preserve">비공개</t>
  </si>
  <si>
    <r>
      <rPr>
        <sz val="10"/>
        <color rgb="FF1F2A2C"/>
        <rFont val="Noto Sans CJK SC"/>
        <family val="2"/>
      </rPr>
      <t xml:space="preserve">약 </t>
    </r>
    <r>
      <rPr>
        <sz val="10"/>
        <color rgb="FF1F2A2C"/>
        <rFont val="Arial"/>
        <family val="0"/>
        <charset val="1"/>
      </rPr>
      <t xml:space="preserve">20</t>
    </r>
    <r>
      <rPr>
        <sz val="10"/>
        <color rgb="FF1F2A2C"/>
        <rFont val="Noto Sans CJK SC"/>
        <family val="2"/>
      </rPr>
      <t xml:space="preserve">명</t>
    </r>
  </si>
  <si>
    <r>
      <rPr>
        <b val="true"/>
        <sz val="10"/>
        <color rgb="FF1F2A2C"/>
        <rFont val="Noto Sans CJK SC"/>
        <family val="2"/>
      </rPr>
      <t xml:space="preserve">면허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인증</t>
    </r>
  </si>
  <si>
    <r>
      <rPr>
        <sz val="10"/>
        <color rgb="FF1F2A2C"/>
        <rFont val="Noto Sans CJK SC"/>
        <family val="2"/>
      </rPr>
      <t xml:space="preserve">실내건축공사업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기술자격 </t>
    </r>
    <r>
      <rPr>
        <sz val="10"/>
        <color rgb="FF1F2A2C"/>
        <rFont val="Arial"/>
        <family val="0"/>
        <charset val="1"/>
      </rPr>
      <t xml:space="preserve">16</t>
    </r>
    <r>
      <rPr>
        <sz val="10"/>
        <color rgb="FF1F2A2C"/>
        <rFont val="Noto Sans CJK SC"/>
        <family val="2"/>
      </rPr>
      <t xml:space="preserve">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벤처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이노비즈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연구소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특허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일자리창출우수기업</t>
    </r>
  </si>
  <si>
    <r>
      <rPr>
        <sz val="10"/>
        <color rgb="FF1F2A2C"/>
        <rFont val="Noto Sans CJK SC"/>
        <family val="2"/>
      </rPr>
      <t xml:space="preserve">건축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의료공간 수행 실적</t>
    </r>
  </si>
  <si>
    <t xml:space="preserve">오늘의집 시공업체</t>
  </si>
  <si>
    <r>
      <rPr>
        <sz val="10"/>
        <color rgb="FF1F2A2C"/>
        <rFont val="Noto Sans CJK SC"/>
        <family val="2"/>
      </rPr>
      <t xml:space="preserve">실내건축공사업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종합건설업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벤처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연구소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메인비즈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이노비즈</t>
    </r>
  </si>
  <si>
    <r>
      <rPr>
        <b val="true"/>
        <sz val="10"/>
        <color rgb="FFB5541E"/>
        <rFont val="Arial"/>
        <family val="0"/>
        <charset val="1"/>
      </rPr>
      <t xml:space="preserve">LX</t>
    </r>
    <r>
      <rPr>
        <b val="true"/>
        <sz val="10"/>
        <color rgb="FFB5541E"/>
        <rFont val="Noto Sans CJK SC"/>
        <family val="2"/>
      </rPr>
      <t xml:space="preserve">하우시스 지인 공식대리점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환경부 친환경 자재</t>
    </r>
  </si>
  <si>
    <t xml:space="preserve">주력 상품</t>
  </si>
  <si>
    <r>
      <rPr>
        <sz val="10"/>
        <color rgb="FF1F2A2C"/>
        <rFont val="Noto Sans CJK SC"/>
        <family val="2"/>
      </rPr>
      <t xml:space="preserve">아파트 전면 리모델링</t>
    </r>
    <r>
      <rPr>
        <sz val="10"/>
        <color rgb="FF1F2A2C"/>
        <rFont val="Arial"/>
        <family val="0"/>
        <charset val="1"/>
      </rPr>
      <t xml:space="preserve">(20~60</t>
    </r>
    <r>
      <rPr>
        <sz val="10"/>
        <color rgb="FF1F2A2C"/>
        <rFont val="Noto Sans CJK SC"/>
        <family val="2"/>
      </rPr>
      <t xml:space="preserve">평대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상업</t>
    </r>
  </si>
  <si>
    <r>
      <rPr>
        <sz val="10"/>
        <color rgb="FF1F2A2C"/>
        <rFont val="Noto Sans CJK SC"/>
        <family val="2"/>
      </rPr>
      <t xml:space="preserve">주거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병원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상업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제품 큐레이션</t>
    </r>
  </si>
  <si>
    <r>
      <rPr>
        <sz val="10"/>
        <color rgb="FF1F2A2C"/>
        <rFont val="Noto Sans CJK SC"/>
        <family val="2"/>
      </rPr>
      <t xml:space="preserve">강남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서초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송파 아파트 리모델링</t>
    </r>
  </si>
  <si>
    <r>
      <rPr>
        <sz val="10"/>
        <color rgb="FF1F2A2C"/>
        <rFont val="Noto Sans CJK SC"/>
        <family val="2"/>
      </rPr>
      <t xml:space="preserve">하이엔드 주거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단독주택 설계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시공</t>
    </r>
  </si>
  <si>
    <r>
      <rPr>
        <b val="true"/>
        <sz val="10"/>
        <color rgb="FFB5541E"/>
        <rFont val="Noto Sans CJK SC"/>
        <family val="2"/>
      </rPr>
      <t xml:space="preserve">아파트 리모델링</t>
    </r>
    <r>
      <rPr>
        <b val="true"/>
        <sz val="10"/>
        <color rgb="FFB5541E"/>
        <rFont val="Arial"/>
        <family val="0"/>
        <charset val="1"/>
      </rPr>
      <t xml:space="preserve">(LX </t>
    </r>
    <r>
      <rPr>
        <b val="true"/>
        <sz val="10"/>
        <color rgb="FFB5541E"/>
        <rFont val="Noto Sans CJK SC"/>
        <family val="2"/>
      </rPr>
      <t xml:space="preserve">자재 중심</t>
    </r>
    <r>
      <rPr>
        <b val="true"/>
        <sz val="10"/>
        <color rgb="FFB5541E"/>
        <rFont val="Arial"/>
        <family val="0"/>
        <charset val="1"/>
      </rPr>
      <t xml:space="preserve">), </t>
    </r>
    <r>
      <rPr>
        <b val="true"/>
        <sz val="10"/>
        <color rgb="FFB5541E"/>
        <rFont val="Noto Sans CJK SC"/>
        <family val="2"/>
      </rPr>
      <t xml:space="preserve">창호</t>
    </r>
    <r>
      <rPr>
        <b val="true"/>
        <sz val="10"/>
        <color rgb="FFB5541E"/>
        <rFont val="Arial"/>
        <family val="0"/>
        <charset val="1"/>
      </rPr>
      <t xml:space="preserve">·</t>
    </r>
    <r>
      <rPr>
        <b val="true"/>
        <sz val="10"/>
        <color rgb="FFB5541E"/>
        <rFont val="Noto Sans CJK SC"/>
        <family val="2"/>
      </rPr>
      <t xml:space="preserve">바닥재</t>
    </r>
  </si>
  <si>
    <t xml:space="preserve">상담 방식</t>
  </si>
  <si>
    <t xml:space="preserve">온라인 상담신청 → 예약제</t>
  </si>
  <si>
    <r>
      <rPr>
        <sz val="10"/>
        <color rgb="FF1F2A2C"/>
        <rFont val="Noto Sans CJK SC"/>
        <family val="2"/>
      </rPr>
      <t xml:space="preserve">홈페이지 </t>
    </r>
    <r>
      <rPr>
        <sz val="10"/>
        <color rgb="FF1F2A2C"/>
        <rFont val="Arial"/>
        <family val="0"/>
        <charset val="1"/>
      </rPr>
      <t xml:space="preserve">RESERVATION only, </t>
    </r>
    <r>
      <rPr>
        <sz val="10"/>
        <color rgb="FF1F2A2C"/>
        <rFont val="Noto Sans CJK SC"/>
        <family val="2"/>
      </rPr>
      <t xml:space="preserve">소액 거절</t>
    </r>
  </si>
  <si>
    <r>
      <rPr>
        <sz val="10"/>
        <color rgb="FF1F2A2C"/>
        <rFont val="Arial"/>
        <family val="0"/>
        <charset val="1"/>
      </rPr>
      <t xml:space="preserve">Tally </t>
    </r>
    <r>
      <rPr>
        <sz val="10"/>
        <color rgb="FF1F2A2C"/>
        <rFont val="Noto Sans CJK SC"/>
        <family val="2"/>
      </rPr>
      <t xml:space="preserve">견적 폼</t>
    </r>
  </si>
  <si>
    <r>
      <rPr>
        <sz val="10"/>
        <color rgb="FF1F2A2C"/>
        <rFont val="Noto Sans CJK SC"/>
        <family val="2"/>
      </rPr>
      <t xml:space="preserve">홈페이지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이메일</t>
    </r>
    <r>
      <rPr>
        <sz val="10"/>
        <color rgb="FF1F2A2C"/>
        <rFont val="Arial"/>
        <family val="0"/>
        <charset val="1"/>
      </rPr>
      <t xml:space="preserve">, 3</t>
    </r>
    <r>
      <rPr>
        <sz val="10"/>
        <color rgb="FF1F2A2C"/>
        <rFont val="Noto Sans CJK SC"/>
        <family val="2"/>
      </rPr>
      <t xml:space="preserve">개월 전 예약</t>
    </r>
  </si>
  <si>
    <r>
      <rPr>
        <b val="true"/>
        <sz val="10"/>
        <color rgb="FFB5541E"/>
        <rFont val="Noto Sans CJK SC"/>
        <family val="2"/>
      </rPr>
      <t xml:space="preserve">전화 </t>
    </r>
    <r>
      <rPr>
        <b val="true"/>
        <sz val="10"/>
        <color rgb="FFB5541E"/>
        <rFont val="Arial"/>
        <family val="0"/>
        <charset val="1"/>
      </rPr>
      <t xml:space="preserve">+ </t>
    </r>
    <r>
      <rPr>
        <b val="true"/>
        <sz val="10"/>
        <color rgb="FFB5541E"/>
        <rFont val="Noto Sans CJK SC"/>
        <family val="2"/>
      </rPr>
      <t xml:space="preserve">네이버 폼 </t>
    </r>
    <r>
      <rPr>
        <b val="true"/>
        <sz val="10"/>
        <color rgb="FFB5541E"/>
        <rFont val="Arial"/>
        <family val="0"/>
        <charset val="1"/>
      </rPr>
      <t xml:space="preserve">+ </t>
    </r>
    <r>
      <rPr>
        <b val="true"/>
        <sz val="10"/>
        <color rgb="FFB5541E"/>
        <rFont val="Noto Sans CJK SC"/>
        <family val="2"/>
      </rPr>
      <t xml:space="preserve">스마트스토어</t>
    </r>
  </si>
  <si>
    <r>
      <rPr>
        <b val="true"/>
        <sz val="10"/>
        <color rgb="FF1F2A2C"/>
        <rFont val="Noto Sans CJK SC"/>
        <family val="2"/>
      </rPr>
      <t xml:space="preserve">프로세스</t>
    </r>
    <r>
      <rPr>
        <b val="true"/>
        <sz val="10"/>
        <color rgb="FF1F2A2C"/>
        <rFont val="Arial"/>
        <family val="0"/>
        <charset val="1"/>
      </rPr>
      <t xml:space="preserve">·AS</t>
    </r>
  </si>
  <si>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주 설계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매뉴얼 시공</t>
    </r>
    <r>
      <rPr>
        <sz val="10"/>
        <color rgb="FF1F2A2C"/>
        <rFont val="Arial"/>
        <family val="0"/>
        <charset val="1"/>
      </rPr>
      <t xml:space="preserve">, 1</t>
    </r>
    <r>
      <rPr>
        <sz val="10"/>
        <color rgb="FF1F2A2C"/>
        <rFont val="Noto Sans CJK SC"/>
        <family val="2"/>
      </rPr>
      <t xml:space="preserve">년 케어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카톡 </t>
    </r>
    <r>
      <rPr>
        <sz val="10"/>
        <color rgb="FF1F2A2C"/>
        <rFont val="Arial"/>
        <family val="0"/>
        <charset val="1"/>
      </rPr>
      <t xml:space="preserve">AS</t>
    </r>
  </si>
  <si>
    <r>
      <rPr>
        <sz val="10"/>
        <color rgb="FF1F2A2C"/>
        <rFont val="Noto Sans CJK SC"/>
        <family val="2"/>
      </rPr>
      <t xml:space="preserve">노션 </t>
    </r>
    <r>
      <rPr>
        <sz val="10"/>
        <color rgb="FF1F2A2C"/>
        <rFont val="Arial"/>
        <family val="0"/>
        <charset val="1"/>
      </rPr>
      <t xml:space="preserve">CRM, </t>
    </r>
    <r>
      <rPr>
        <sz val="10"/>
        <color rgb="FF1F2A2C"/>
        <rFont val="Noto Sans CJK SC"/>
        <family val="2"/>
      </rPr>
      <t xml:space="preserve">공사 매뉴얼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연 </t>
    </r>
    <r>
      <rPr>
        <sz val="10"/>
        <color rgb="FF1F2A2C"/>
        <rFont val="Arial"/>
        <family val="0"/>
        <charset val="1"/>
      </rPr>
      <t xml:space="preserve">70</t>
    </r>
    <r>
      <rPr>
        <sz val="10"/>
        <color rgb="FF1F2A2C"/>
        <rFont val="Noto Sans CJK SC"/>
        <family val="2"/>
      </rPr>
      <t xml:space="preserve">건</t>
    </r>
  </si>
  <si>
    <r>
      <rPr>
        <sz val="10"/>
        <color rgb="FF1F2A2C"/>
        <rFont val="Noto Sans CJK SC"/>
        <family val="2"/>
      </rPr>
      <t xml:space="preserve">운영 원칙 공개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예약 리드타임</t>
    </r>
    <r>
      <rPr>
        <sz val="10"/>
        <color rgb="FF1F2A2C"/>
        <rFont val="Arial"/>
        <family val="0"/>
        <charset val="1"/>
      </rPr>
      <t xml:space="preserve">)</t>
    </r>
  </si>
  <si>
    <t xml:space="preserve">콘텐츠 조직</t>
  </si>
  <si>
    <r>
      <rPr>
        <sz val="10"/>
        <color rgb="FF1F2A2C"/>
        <rFont val="Noto Sans CJK SC"/>
        <family val="2"/>
      </rPr>
      <t xml:space="preserve">마케팅팀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대표 출연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웹진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책 출간</t>
    </r>
  </si>
  <si>
    <r>
      <rPr>
        <sz val="10"/>
        <color rgb="FF1F2A2C"/>
        <rFont val="Noto Sans CJK SC"/>
        <family val="2"/>
      </rPr>
      <t xml:space="preserve">대표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인 브랜드 </t>
    </r>
    <r>
      <rPr>
        <sz val="10"/>
        <color rgb="FF1F2A2C"/>
        <rFont val="Arial"/>
        <family val="0"/>
        <charset val="1"/>
      </rPr>
      <t xml:space="preserve">+ </t>
    </r>
    <r>
      <rPr>
        <sz val="10"/>
        <color rgb="FF1F2A2C"/>
        <rFont val="Noto Sans CJK SC"/>
        <family val="2"/>
      </rPr>
      <t xml:space="preserve">편집</t>
    </r>
  </si>
  <si>
    <r>
      <rPr>
        <sz val="10"/>
        <color rgb="FF1F2A2C"/>
        <rFont val="Noto Sans CJK SC"/>
        <family val="2"/>
      </rPr>
      <t xml:space="preserve">디자이너 출연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주 </t>
    </r>
    <r>
      <rPr>
        <sz val="10"/>
        <color rgb="FF1F2A2C"/>
        <rFont val="Arial"/>
        <family val="0"/>
        <charset val="1"/>
      </rPr>
      <t xml:space="preserve">1~2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라이브</t>
    </r>
  </si>
  <si>
    <r>
      <rPr>
        <sz val="10"/>
        <color rgb="FF1F2A2C"/>
        <rFont val="Noto Sans CJK SC"/>
        <family val="2"/>
      </rPr>
      <t xml:space="preserve">스튜디오 영상팀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시네마틱</t>
    </r>
    <r>
      <rPr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</si>
  <si>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B5541E"/>
        <rFont val="Noto Sans CJK SC"/>
        <family val="2"/>
      </rPr>
      <t xml:space="preserve">블로그 주 </t>
    </r>
    <r>
      <rPr>
        <b val="true"/>
        <sz val="10"/>
        <color rgb="FFB5541E"/>
        <rFont val="Arial"/>
        <family val="0"/>
        <charset val="1"/>
      </rPr>
      <t xml:space="preserve">3</t>
    </r>
    <r>
      <rPr>
        <b val="true"/>
        <sz val="10"/>
        <color rgb="FFB5541E"/>
        <rFont val="Noto Sans CJK SC"/>
        <family val="2"/>
      </rPr>
      <t xml:space="preserve">회</t>
    </r>
    <r>
      <rPr>
        <b val="true"/>
        <sz val="10"/>
        <color rgb="FFB5541E"/>
        <rFont val="Arial"/>
        <family val="0"/>
        <charset val="1"/>
      </rPr>
      <t xml:space="preserve">, </t>
    </r>
    <r>
      <rPr>
        <b val="true"/>
        <sz val="10"/>
        <color rgb="FFB5541E"/>
        <rFont val="Noto Sans CJK SC"/>
        <family val="2"/>
      </rPr>
      <t xml:space="preserve">유튜브 비정기</t>
    </r>
  </si>
  <si>
    <r>
      <rPr>
        <b val="true"/>
        <sz val="16"/>
        <color rgb="FF1F2A2C"/>
        <rFont val="Noto Sans CJK SC"/>
        <family val="2"/>
      </rPr>
      <t xml:space="preserve">공간이엔지 실행 과제 </t>
    </r>
    <r>
      <rPr>
        <b val="true"/>
        <sz val="16"/>
        <color rgb="FF1F2A2C"/>
        <rFont val="Arial"/>
        <family val="0"/>
        <charset val="1"/>
      </rPr>
      <t xml:space="preserve">(90</t>
    </r>
    <r>
      <rPr>
        <b val="true"/>
        <sz val="16"/>
        <color rgb="FF1F2A2C"/>
        <rFont val="Noto Sans CJK SC"/>
        <family val="2"/>
      </rPr>
      <t xml:space="preserve">일</t>
    </r>
    <r>
      <rPr>
        <b val="true"/>
        <sz val="16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</si>
  <si>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우선순위</t>
    </r>
    <r>
      <rPr>
        <sz val="10"/>
        <color rgb="FF6B7775"/>
        <rFont val="Arial"/>
        <family val="0"/>
        <charset val="1"/>
      </rPr>
      <t xml:space="preserve">·</t>
    </r>
    <r>
      <rPr>
        <sz val="10"/>
        <color rgb="FF6B7775"/>
        <rFont val="Noto Sans CJK SC"/>
        <family val="2"/>
      </rPr>
      <t xml:space="preserve">기간</t>
    </r>
    <r>
      <rPr>
        <sz val="10"/>
        <color rgb="FF6B7775"/>
        <rFont val="Arial"/>
        <family val="0"/>
        <charset val="1"/>
      </rPr>
      <t xml:space="preserve">·KPI</t>
    </r>
    <r>
      <rPr>
        <sz val="10"/>
        <color rgb="FF6B7775"/>
        <rFont val="Noto Sans CJK SC"/>
        <family val="2"/>
      </rPr>
      <t xml:space="preserve">는 초안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상태 열은 직접 갱신</t>
    </r>
    <r>
      <rPr>
        <sz val="10"/>
        <color rgb="FF6B7775"/>
        <rFont val="Arial"/>
        <family val="0"/>
        <charset val="1"/>
      </rPr>
      <t xml:space="preserve">.</t>
    </r>
  </si>
  <si>
    <t xml:space="preserve">우선순위</t>
  </si>
  <si>
    <t xml:space="preserve">과제</t>
  </si>
  <si>
    <t xml:space="preserve">근거 항목</t>
  </si>
  <si>
    <t xml:space="preserve">기간</t>
  </si>
  <si>
    <r>
      <rPr>
        <b val="true"/>
        <sz val="10"/>
        <color rgb="FFFFFFFF"/>
        <rFont val="Arial"/>
        <family val="0"/>
        <charset val="1"/>
      </rPr>
      <t xml:space="preserve">90</t>
    </r>
    <r>
      <rPr>
        <b val="true"/>
        <sz val="10"/>
        <color rgb="FFFFFFFF"/>
        <rFont val="Noto Sans CJK SC"/>
        <family val="2"/>
      </rPr>
      <t xml:space="preserve">일 목표 </t>
    </r>
    <r>
      <rPr>
        <b val="true"/>
        <sz val="10"/>
        <color rgb="FFFFFFFF"/>
        <rFont val="Arial"/>
        <family val="0"/>
        <charset val="1"/>
      </rPr>
      <t xml:space="preserve">KPI</t>
    </r>
  </si>
  <si>
    <t xml:space="preserve">담당</t>
  </si>
  <si>
    <t xml:space="preserve">상태</t>
  </si>
  <si>
    <r>
      <rPr>
        <b val="true"/>
        <sz val="10"/>
        <color rgb="FF1F2A2C"/>
        <rFont val="Noto Sans CJK SC"/>
        <family val="2"/>
      </rPr>
      <t xml:space="preserve">출연자 지정 </t>
    </r>
    <r>
      <rPr>
        <b val="true"/>
        <sz val="10"/>
        <color rgb="FF1F2A2C"/>
        <rFont val="Arial"/>
        <family val="0"/>
        <charset val="1"/>
      </rPr>
      <t xml:space="preserve">+ </t>
    </r>
    <r>
      <rPr>
        <b val="true"/>
        <sz val="10"/>
        <color rgb="FF1F2A2C"/>
        <rFont val="Noto Sans CJK SC"/>
        <family val="2"/>
      </rPr>
      <t xml:space="preserve">롱폼 트랙 신설</t>
    </r>
    <r>
      <rPr>
        <b val="true"/>
        <sz val="10"/>
        <color rgb="FF1F2A2C"/>
        <rFont val="Arial"/>
        <family val="0"/>
        <charset val="1"/>
      </rPr>
      <t xml:space="preserve">(10~15</t>
    </r>
    <r>
      <rPr>
        <b val="true"/>
        <sz val="10"/>
        <color rgb="FF1F2A2C"/>
        <rFont val="Noto Sans CJK SC"/>
        <family val="2"/>
      </rPr>
      <t xml:space="preserve">분</t>
    </r>
    <r>
      <rPr>
        <b val="true"/>
        <sz val="10"/>
        <color rgb="FF1F2A2C"/>
        <rFont val="Arial"/>
        <family val="0"/>
        <charset val="1"/>
      </rPr>
      <t xml:space="preserve">, </t>
    </r>
    <r>
      <rPr>
        <b val="true"/>
        <sz val="10"/>
        <color rgb="FF1F2A2C"/>
        <rFont val="Noto Sans CJK SC"/>
        <family val="2"/>
      </rPr>
      <t xml:space="preserve">월 </t>
    </r>
    <r>
      <rPr>
        <b val="true"/>
        <sz val="10"/>
        <color rgb="FF1F2A2C"/>
        <rFont val="Arial"/>
        <family val="0"/>
        <charset val="1"/>
      </rPr>
      <t xml:space="preserve">2</t>
    </r>
    <r>
      <rPr>
        <b val="true"/>
        <sz val="10"/>
        <color rgb="FF1F2A2C"/>
        <rFont val="Noto Sans CJK SC"/>
        <family val="2"/>
      </rPr>
      <t xml:space="preserve">편</t>
    </r>
    <r>
      <rPr>
        <b val="true"/>
        <sz val="10"/>
        <color rgb="FF1F2A2C"/>
        <rFont val="Arial"/>
        <family val="0"/>
        <charset val="1"/>
      </rPr>
      <t xml:space="preserve">)</t>
    </r>
  </si>
  <si>
    <t xml:space="preserve">#2 #5 #7</t>
  </si>
  <si>
    <r>
      <rPr>
        <sz val="10"/>
        <color rgb="FF1F2A2C"/>
        <rFont val="Noto Sans CJK SC"/>
        <family val="2"/>
      </rPr>
      <t xml:space="preserve">즉시</t>
    </r>
    <r>
      <rPr>
        <sz val="10"/>
        <color rgb="FF1F2A2C"/>
        <rFont val="Arial"/>
        <family val="0"/>
        <charset val="1"/>
      </rPr>
      <t xml:space="preserve">~4</t>
    </r>
    <r>
      <rPr>
        <sz val="10"/>
        <color rgb="FF1F2A2C"/>
        <rFont val="Noto Sans CJK SC"/>
        <family val="2"/>
      </rPr>
      <t xml:space="preserve">주</t>
    </r>
  </si>
  <si>
    <r>
      <rPr>
        <sz val="10"/>
        <color rgb="FF1F2A2C"/>
        <rFont val="Noto Sans CJK SC"/>
        <family val="2"/>
      </rPr>
      <t xml:space="preserve">롱폼 </t>
    </r>
    <r>
      <rPr>
        <sz val="10"/>
        <color rgb="FF1F2A2C"/>
        <rFont val="Arial"/>
        <family val="0"/>
        <charset val="1"/>
      </rPr>
      <t xml:space="preserve">8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편당 조회 </t>
    </r>
    <r>
      <rPr>
        <sz val="10"/>
        <color rgb="FF1F2A2C"/>
        <rFont val="Arial"/>
        <family val="0"/>
        <charset val="1"/>
      </rPr>
      <t xml:space="preserve">3,000</t>
    </r>
    <r>
      <rPr>
        <sz val="10"/>
        <color rgb="FF1F2A2C"/>
        <rFont val="Noto Sans CJK SC"/>
        <family val="2"/>
      </rPr>
      <t xml:space="preserve">회</t>
    </r>
  </si>
  <si>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입력</t>
    </r>
    <r>
      <rPr>
        <sz val="10"/>
        <color rgb="FF1F2A2C"/>
        <rFont val="Arial"/>
        <family val="0"/>
        <charset val="1"/>
      </rPr>
      <t xml:space="preserve">)</t>
    </r>
  </si>
  <si>
    <t xml:space="preserve">대기</t>
  </si>
  <si>
    <r>
      <rPr>
        <b val="true"/>
        <sz val="10"/>
        <color rgb="FF1F2A2C"/>
        <rFont val="Noto Sans CJK SC"/>
        <family val="2"/>
      </rPr>
      <t xml:space="preserve">썸네일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제목 템플릿 고정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공간</t>
    </r>
    <r>
      <rPr>
        <b val="true"/>
        <sz val="10"/>
        <color rgb="FF1F2A2C"/>
        <rFont val="Arial"/>
        <family val="0"/>
        <charset val="1"/>
      </rPr>
      <t xml:space="preserve">+</t>
    </r>
    <r>
      <rPr>
        <b val="true"/>
        <sz val="10"/>
        <color rgb="FF1F2A2C"/>
        <rFont val="Noto Sans CJK SC"/>
        <family val="2"/>
      </rPr>
      <t xml:space="preserve">인물</t>
    </r>
    <r>
      <rPr>
        <b val="true"/>
        <sz val="10"/>
        <color rgb="FF1F2A2C"/>
        <rFont val="Arial"/>
        <family val="0"/>
        <charset val="1"/>
      </rPr>
      <t xml:space="preserve">+</t>
    </r>
    <r>
      <rPr>
        <b val="true"/>
        <sz val="10"/>
        <color rgb="FF1F2A2C"/>
        <rFont val="Noto Sans CJK SC"/>
        <family val="2"/>
      </rPr>
      <t xml:space="preserve">숫자</t>
    </r>
    <r>
      <rPr>
        <b val="true"/>
        <sz val="10"/>
        <color rgb="FF1F2A2C"/>
        <rFont val="Arial"/>
        <family val="0"/>
        <charset val="1"/>
      </rPr>
      <t xml:space="preserve">+2</t>
    </r>
    <r>
      <rPr>
        <b val="true"/>
        <sz val="10"/>
        <color rgb="FF1F2A2C"/>
        <rFont val="Noto Sans CJK SC"/>
        <family val="2"/>
      </rPr>
      <t xml:space="preserve">줄 카피</t>
    </r>
    <r>
      <rPr>
        <b val="true"/>
        <sz val="10"/>
        <color rgb="FF1F2A2C"/>
        <rFont val="Arial"/>
        <family val="0"/>
        <charset val="1"/>
      </rPr>
      <t xml:space="preserve">)</t>
    </r>
  </si>
  <si>
    <t xml:space="preserve">#6</t>
  </si>
  <si>
    <r>
      <rPr>
        <sz val="10"/>
        <color rgb="FF1F2A2C"/>
        <rFont val="Arial"/>
        <family val="0"/>
        <charset val="1"/>
      </rPr>
      <t xml:space="preserve">2</t>
    </r>
    <r>
      <rPr>
        <sz val="10"/>
        <color rgb="FF1F2A2C"/>
        <rFont val="Noto Sans CJK SC"/>
        <family val="2"/>
      </rPr>
      <t xml:space="preserve">주</t>
    </r>
  </si>
  <si>
    <r>
      <rPr>
        <sz val="10"/>
        <color rgb="FF1F2A2C"/>
        <rFont val="Noto Sans CJK SC"/>
        <family val="2"/>
      </rPr>
      <t xml:space="preserve">클릭률 </t>
    </r>
    <r>
      <rPr>
        <sz val="10"/>
        <color rgb="FF1F2A2C"/>
        <rFont val="Arial"/>
        <family val="0"/>
        <charset val="1"/>
      </rPr>
      <t xml:space="preserve">5% </t>
    </r>
    <r>
      <rPr>
        <sz val="10"/>
        <color rgb="FF1F2A2C"/>
        <rFont val="Noto Sans CJK SC"/>
        <family val="2"/>
      </rPr>
      <t xml:space="preserve">이상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스튜디오 기준</t>
    </r>
    <r>
      <rPr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</si>
  <si>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블로그 편성표에 유튜브 결합</t>
    </r>
    <r>
      <rPr>
        <b val="true"/>
        <sz val="10"/>
        <color rgb="FF1F2A2C"/>
        <rFont val="Arial"/>
        <family val="0"/>
        <charset val="1"/>
      </rPr>
      <t xml:space="preserve">: 1</t>
    </r>
    <r>
      <rPr>
        <b val="true"/>
        <sz val="10"/>
        <color rgb="FF1F2A2C"/>
        <rFont val="Noto Sans CJK SC"/>
        <family val="2"/>
      </rPr>
      <t xml:space="preserve">소재 → 블로그</t>
    </r>
    <r>
      <rPr>
        <b val="true"/>
        <sz val="10"/>
        <color rgb="FF1F2A2C"/>
        <rFont val="Arial"/>
        <family val="0"/>
        <charset val="1"/>
      </rPr>
      <t xml:space="preserve">1·</t>
    </r>
    <r>
      <rPr>
        <b val="true"/>
        <sz val="10"/>
        <color rgb="FF1F2A2C"/>
        <rFont val="Noto Sans CJK SC"/>
        <family val="2"/>
      </rPr>
      <t xml:space="preserve">롱폼</t>
    </r>
    <r>
      <rPr>
        <b val="true"/>
        <sz val="10"/>
        <color rgb="FF1F2A2C"/>
        <rFont val="Arial"/>
        <family val="0"/>
        <charset val="1"/>
      </rPr>
      <t xml:space="preserve">1·</t>
    </r>
    <r>
      <rPr>
        <b val="true"/>
        <sz val="10"/>
        <color rgb="FF1F2A2C"/>
        <rFont val="Noto Sans CJK SC"/>
        <family val="2"/>
      </rPr>
      <t xml:space="preserve">쇼츠</t>
    </r>
    <r>
      <rPr>
        <b val="true"/>
        <sz val="10"/>
        <color rgb="FF1F2A2C"/>
        <rFont val="Arial"/>
        <family val="0"/>
        <charset val="1"/>
      </rPr>
      <t xml:space="preserve">3</t>
    </r>
  </si>
  <si>
    <t xml:space="preserve">#3 #10</t>
  </si>
  <si>
    <r>
      <rPr>
        <sz val="10"/>
        <color rgb="FF1F2A2C"/>
        <rFont val="Arial"/>
        <family val="0"/>
        <charset val="1"/>
      </rPr>
      <t xml:space="preserve">4</t>
    </r>
    <r>
      <rPr>
        <sz val="10"/>
        <color rgb="FF1F2A2C"/>
        <rFont val="Noto Sans CJK SC"/>
        <family val="2"/>
      </rPr>
      <t xml:space="preserve">주</t>
    </r>
  </si>
  <si>
    <r>
      <rPr>
        <sz val="10"/>
        <color rgb="FF1F2A2C"/>
        <rFont val="Noto Sans CJK SC"/>
        <family val="2"/>
      </rPr>
      <t xml:space="preserve">주 </t>
    </r>
    <r>
      <rPr>
        <sz val="10"/>
        <color rgb="FF1F2A2C"/>
        <rFont val="Arial"/>
        <family val="0"/>
        <charset val="1"/>
      </rPr>
      <t xml:space="preserve">2</t>
    </r>
    <r>
      <rPr>
        <sz val="10"/>
        <color rgb="FF1F2A2C"/>
        <rFont val="Noto Sans CJK SC"/>
        <family val="2"/>
      </rPr>
      <t xml:space="preserve">회 고정 업로드 </t>
    </r>
    <r>
      <rPr>
        <sz val="10"/>
        <color rgb="FF1F2A2C"/>
        <rFont val="Arial"/>
        <family val="0"/>
        <charset val="1"/>
      </rPr>
      <t xml:space="preserve">12</t>
    </r>
    <r>
      <rPr>
        <sz val="10"/>
        <color rgb="FF1F2A2C"/>
        <rFont val="Noto Sans CJK SC"/>
        <family val="2"/>
      </rPr>
      <t xml:space="preserve">주 연속</t>
    </r>
  </si>
  <si>
    <r>
      <rPr>
        <b val="true"/>
        <sz val="10"/>
        <color rgb="FF1F2A2C"/>
        <rFont val="Noto Sans CJK SC"/>
        <family val="2"/>
      </rPr>
      <t xml:space="preserve">주제 믹스 조정</t>
    </r>
    <r>
      <rPr>
        <b val="true"/>
        <sz val="10"/>
        <color rgb="FF1F2A2C"/>
        <rFont val="Arial"/>
        <family val="0"/>
        <charset val="1"/>
      </rPr>
      <t xml:space="preserve">: </t>
    </r>
    <r>
      <rPr>
        <b val="true"/>
        <sz val="10"/>
        <color rgb="FF1F2A2C"/>
        <rFont val="Noto Sans CJK SC"/>
        <family val="2"/>
      </rPr>
      <t xml:space="preserve">제품 </t>
    </r>
    <r>
      <rPr>
        <b val="true"/>
        <sz val="10"/>
        <color rgb="FF1F2A2C"/>
        <rFont val="Arial"/>
        <family val="0"/>
        <charset val="1"/>
      </rPr>
      <t xml:space="preserve">41%→20%, </t>
    </r>
    <r>
      <rPr>
        <b val="true"/>
        <sz val="10"/>
        <color rgb="FF1F2A2C"/>
        <rFont val="Noto Sans CJK SC"/>
        <family val="2"/>
      </rPr>
      <t xml:space="preserve">정보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노하우 </t>
    </r>
    <r>
      <rPr>
        <b val="true"/>
        <sz val="10"/>
        <color rgb="FF1F2A2C"/>
        <rFont val="Arial"/>
        <family val="0"/>
        <charset val="1"/>
      </rPr>
      <t xml:space="preserve">13%→35%</t>
    </r>
  </si>
  <si>
    <t xml:space="preserve">#4</t>
  </si>
  <si>
    <r>
      <rPr>
        <sz val="10"/>
        <color rgb="FF1F2A2C"/>
        <rFont val="Arial"/>
        <family val="0"/>
        <charset val="1"/>
      </rPr>
      <t xml:space="preserve">12</t>
    </r>
    <r>
      <rPr>
        <sz val="10"/>
        <color rgb="FF1F2A2C"/>
        <rFont val="Noto Sans CJK SC"/>
        <family val="2"/>
      </rPr>
      <t xml:space="preserve">주</t>
    </r>
  </si>
  <si>
    <r>
      <rPr>
        <sz val="10"/>
        <color rgb="FF1F2A2C"/>
        <rFont val="Noto Sans CJK SC"/>
        <family val="2"/>
      </rPr>
      <t xml:space="preserve">정보형 영상 </t>
    </r>
    <r>
      <rPr>
        <sz val="10"/>
        <color rgb="FF1F2A2C"/>
        <rFont val="Arial"/>
        <family val="0"/>
        <charset val="1"/>
      </rPr>
      <t xml:space="preserve">6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시공사례 </t>
    </r>
    <r>
      <rPr>
        <sz val="10"/>
        <color rgb="FF1F2A2C"/>
        <rFont val="Arial"/>
        <family val="0"/>
        <charset val="1"/>
      </rPr>
      <t xml:space="preserve">6</t>
    </r>
    <r>
      <rPr>
        <sz val="10"/>
        <color rgb="FF1F2A2C"/>
        <rFont val="Noto Sans CJK SC"/>
        <family val="2"/>
      </rPr>
      <t xml:space="preserve">편</t>
    </r>
  </si>
  <si>
    <r>
      <rPr>
        <b val="true"/>
        <sz val="10"/>
        <color rgb="FF1F2A2C"/>
        <rFont val="Noto Sans CJK SC"/>
        <family val="2"/>
      </rPr>
      <t xml:space="preserve">유튜브 전용 상담 폼 </t>
    </r>
    <r>
      <rPr>
        <b val="true"/>
        <sz val="10"/>
        <color rgb="FF1F2A2C"/>
        <rFont val="Arial"/>
        <family val="0"/>
        <charset val="1"/>
      </rPr>
      <t xml:space="preserve">+ </t>
    </r>
    <r>
      <rPr>
        <b val="true"/>
        <sz val="10"/>
        <color rgb="FF1F2A2C"/>
        <rFont val="Noto Sans CJK SC"/>
        <family val="2"/>
      </rPr>
      <t xml:space="preserve">고정 댓글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종료화면 </t>
    </r>
    <r>
      <rPr>
        <b val="true"/>
        <sz val="10"/>
        <color rgb="FF1F2A2C"/>
        <rFont val="Arial"/>
        <family val="0"/>
        <charset val="1"/>
      </rPr>
      <t xml:space="preserve">CTA</t>
    </r>
  </si>
  <si>
    <t xml:space="preserve">#8</t>
  </si>
  <si>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주</t>
    </r>
  </si>
  <si>
    <r>
      <rPr>
        <sz val="10"/>
        <color rgb="FF1F2A2C"/>
        <rFont val="Noto Sans CJK SC"/>
        <family val="2"/>
      </rPr>
      <t xml:space="preserve">유튜브 경유 상담 월 </t>
    </r>
    <r>
      <rPr>
        <sz val="10"/>
        <color rgb="FF1F2A2C"/>
        <rFont val="Arial"/>
        <family val="0"/>
        <charset val="1"/>
      </rPr>
      <t xml:space="preserve">5</t>
    </r>
    <r>
      <rPr>
        <sz val="10"/>
        <color rgb="FF1F2A2C"/>
        <rFont val="Noto Sans CJK SC"/>
        <family val="2"/>
      </rPr>
      <t xml:space="preserve">건 추적</t>
    </r>
  </si>
  <si>
    <r>
      <rPr>
        <b val="true"/>
        <sz val="10"/>
        <color rgb="FF1F2A2C"/>
        <rFont val="Noto Sans CJK SC"/>
        <family val="2"/>
      </rPr>
      <t xml:space="preserve">재생목록 </t>
    </r>
    <r>
      <rPr>
        <b val="true"/>
        <sz val="10"/>
        <color rgb="FF1F2A2C"/>
        <rFont val="Arial"/>
        <family val="0"/>
        <charset val="1"/>
      </rPr>
      <t xml:space="preserve">4</t>
    </r>
    <r>
      <rPr>
        <b val="true"/>
        <sz val="10"/>
        <color rgb="FF1F2A2C"/>
        <rFont val="Noto Sans CJK SC"/>
        <family val="2"/>
      </rPr>
      <t xml:space="preserve">종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평형별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단지별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자재별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비용</t>
    </r>
    <r>
      <rPr>
        <b val="true"/>
        <sz val="10"/>
        <color rgb="FF1F2A2C"/>
        <rFont val="Arial"/>
        <family val="0"/>
        <charset val="1"/>
      </rPr>
      <t xml:space="preserve">) + </t>
    </r>
    <r>
      <rPr>
        <b val="true"/>
        <sz val="10"/>
        <color rgb="FF1F2A2C"/>
        <rFont val="Noto Sans CJK SC"/>
        <family val="2"/>
      </rPr>
      <t xml:space="preserve">게시물 탭 활성화</t>
    </r>
  </si>
  <si>
    <t xml:space="preserve">#2</t>
  </si>
  <si>
    <r>
      <rPr>
        <sz val="10"/>
        <color rgb="FF1F2A2C"/>
        <rFont val="Noto Sans CJK SC"/>
        <family val="2"/>
      </rPr>
      <t xml:space="preserve">재생목록 경유 시청 </t>
    </r>
    <r>
      <rPr>
        <sz val="10"/>
        <color rgb="FF1F2A2C"/>
        <rFont val="Arial"/>
        <family val="0"/>
        <charset val="1"/>
      </rPr>
      <t xml:space="preserve">10%</t>
    </r>
  </si>
  <si>
    <r>
      <rPr>
        <b val="true"/>
        <sz val="10"/>
        <color rgb="FF1F2A2C"/>
        <rFont val="Noto Sans CJK SC"/>
        <family val="2"/>
      </rPr>
      <t xml:space="preserve">채널 소개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배너에 면허</t>
    </r>
    <r>
      <rPr>
        <b val="true"/>
        <sz val="10"/>
        <color rgb="FF1F2A2C"/>
        <rFont val="Arial"/>
        <family val="0"/>
        <charset val="1"/>
      </rPr>
      <t xml:space="preserve">·</t>
    </r>
    <r>
      <rPr>
        <b val="true"/>
        <sz val="10"/>
        <color rgb="FF1F2A2C"/>
        <rFont val="Noto Sans CJK SC"/>
        <family val="2"/>
      </rPr>
      <t xml:space="preserve">시공팀</t>
    </r>
    <r>
      <rPr>
        <b val="true"/>
        <sz val="10"/>
        <color rgb="FF1F2A2C"/>
        <rFont val="Arial"/>
        <family val="0"/>
        <charset val="1"/>
      </rPr>
      <t xml:space="preserve">·AS </t>
    </r>
    <r>
      <rPr>
        <b val="true"/>
        <sz val="10"/>
        <color rgb="FF1F2A2C"/>
        <rFont val="Noto Sans CJK SC"/>
        <family val="2"/>
      </rPr>
      <t xml:space="preserve">기준 수치 명시</t>
    </r>
  </si>
  <si>
    <t xml:space="preserve">#9 #10</t>
  </si>
  <si>
    <r>
      <rPr>
        <sz val="10"/>
        <color rgb="FF1F2A2C"/>
        <rFont val="Noto Sans CJK SC"/>
        <family val="2"/>
      </rPr>
      <t xml:space="preserve">소개 페이지 완성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회</t>
    </r>
  </si>
  <si>
    <r>
      <rPr>
        <b val="true"/>
        <sz val="10"/>
        <color rgb="FF1F2A2C"/>
        <rFont val="Noto Sans CJK SC"/>
        <family val="2"/>
      </rPr>
      <t xml:space="preserve">고객 인터뷰 시리즈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준공 후 </t>
    </r>
    <r>
      <rPr>
        <b val="true"/>
        <sz val="10"/>
        <color rgb="FF1F2A2C"/>
        <rFont val="Arial"/>
        <family val="0"/>
        <charset val="1"/>
      </rPr>
      <t xml:space="preserve">3</t>
    </r>
    <r>
      <rPr>
        <b val="true"/>
        <sz val="10"/>
        <color rgb="FF1F2A2C"/>
        <rFont val="Noto Sans CJK SC"/>
        <family val="2"/>
      </rPr>
      <t xml:space="preserve">개월</t>
    </r>
    <r>
      <rPr>
        <b val="true"/>
        <sz val="10"/>
        <color rgb="FF1F2A2C"/>
        <rFont val="Arial"/>
        <family val="0"/>
        <charset val="1"/>
      </rPr>
      <t xml:space="preserve">) </t>
    </r>
    <r>
      <rPr>
        <b val="true"/>
        <sz val="10"/>
        <color rgb="FF1F2A2C"/>
        <rFont val="Noto Sans CJK SC"/>
        <family val="2"/>
      </rPr>
      <t xml:space="preserve">분기 </t>
    </r>
    <r>
      <rPr>
        <b val="true"/>
        <sz val="10"/>
        <color rgb="FF1F2A2C"/>
        <rFont val="Arial"/>
        <family val="0"/>
        <charset val="1"/>
      </rPr>
      <t xml:space="preserve">1</t>
    </r>
    <r>
      <rPr>
        <b val="true"/>
        <sz val="10"/>
        <color rgb="FF1F2A2C"/>
        <rFont val="Noto Sans CJK SC"/>
        <family val="2"/>
      </rPr>
      <t xml:space="preserve">편</t>
    </r>
  </si>
  <si>
    <t xml:space="preserve">#4 #7</t>
  </si>
  <si>
    <t xml:space="preserve">분기</t>
  </si>
  <si>
    <r>
      <rPr>
        <sz val="10"/>
        <color rgb="FF1F2A2C"/>
        <rFont val="Noto Sans CJK SC"/>
        <family val="2"/>
      </rPr>
      <t xml:space="preserve">인터뷰 </t>
    </r>
    <r>
      <rPr>
        <sz val="10"/>
        <color rgb="FF1F2A2C"/>
        <rFont val="Arial"/>
        <family val="0"/>
        <charset val="1"/>
      </rPr>
      <t xml:space="preserve">1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평균 시청 지속 </t>
    </r>
    <r>
      <rPr>
        <sz val="10"/>
        <color rgb="FF1F2A2C"/>
        <rFont val="Arial"/>
        <family val="0"/>
        <charset val="1"/>
      </rPr>
      <t xml:space="preserve">40%</t>
    </r>
  </si>
  <si>
    <r>
      <rPr>
        <b val="true"/>
        <sz val="10"/>
        <color rgb="FF1F2A2C"/>
        <rFont val="Noto Sans CJK SC"/>
        <family val="2"/>
      </rPr>
      <t xml:space="preserve">진행률 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완료 </t>
    </r>
    <r>
      <rPr>
        <b val="true"/>
        <sz val="10"/>
        <color rgb="FF1F2A2C"/>
        <rFont val="Arial"/>
        <family val="0"/>
        <charset val="1"/>
      </rPr>
      <t xml:space="preserve">÷ </t>
    </r>
    <r>
      <rPr>
        <b val="true"/>
        <sz val="10"/>
        <color rgb="FF1F2A2C"/>
        <rFont val="Noto Sans CJK SC"/>
        <family val="2"/>
      </rPr>
      <t xml:space="preserve">전체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</si>
  <si>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sz val="10"/>
        <color rgb="FF6B7775"/>
        <rFont val="Noto Sans CJK SC"/>
        <family val="2"/>
      </rPr>
      <t xml:space="preserve">상태 값</t>
    </r>
    <r>
      <rPr>
        <sz val="10"/>
        <color rgb="FF6B7775"/>
        <rFont val="Arial"/>
        <family val="0"/>
        <charset val="1"/>
      </rPr>
      <t xml:space="preserve">: </t>
    </r>
    <r>
      <rPr>
        <sz val="10"/>
        <color rgb="FF6B7775"/>
        <rFont val="Noto Sans CJK SC"/>
        <family val="2"/>
      </rPr>
      <t xml:space="preserve">대기 </t>
    </r>
    <r>
      <rPr>
        <sz val="10"/>
        <color rgb="FF6B7775"/>
        <rFont val="Arial"/>
        <family val="0"/>
        <charset val="1"/>
      </rPr>
      <t xml:space="preserve">/ </t>
    </r>
    <r>
      <rPr>
        <sz val="10"/>
        <color rgb="FF6B7775"/>
        <rFont val="Noto Sans CJK SC"/>
        <family val="2"/>
      </rPr>
      <t xml:space="preserve">진행 </t>
    </r>
    <r>
      <rPr>
        <sz val="10"/>
        <color rgb="FF6B7775"/>
        <rFont val="Arial"/>
        <family val="0"/>
        <charset val="1"/>
      </rPr>
      <t xml:space="preserve">/ </t>
    </r>
    <r>
      <rPr>
        <sz val="10"/>
        <color rgb="FF6B7775"/>
        <rFont val="Noto Sans CJK SC"/>
        <family val="2"/>
      </rPr>
      <t xml:space="preserve">완료</t>
    </r>
    <r>
      <rPr>
        <sz val="10"/>
        <color rgb="FF6B7775"/>
        <rFont val="Arial"/>
        <family val="0"/>
        <charset val="1"/>
      </rPr>
      <t xml:space="preserve">. </t>
    </r>
    <r>
      <rPr>
        <sz val="10"/>
        <color rgb="FF6B7775"/>
        <rFont val="Noto Sans CJK SC"/>
        <family val="2"/>
      </rPr>
      <t xml:space="preserve">노란 셀은 입력 칸</t>
    </r>
    <r>
      <rPr>
        <sz val="10"/>
        <color rgb="FF6B7775"/>
        <rFont val="Arial"/>
        <family val="0"/>
        <charset val="1"/>
      </rPr>
      <t xml:space="preserve">.</t>
    </r>
  </si>
  <si>
    <t xml:space="preserve">출처 및 산출 기준</t>
  </si>
  <si>
    <r>
      <rPr>
        <sz val="10"/>
        <color rgb="FF1F2A2C"/>
        <rFont val="Arial"/>
        <family val="0"/>
        <charset val="1"/>
      </rPr>
      <t xml:space="preserve">1. </t>
    </r>
    <r>
      <rPr>
        <sz val="10"/>
        <color rgb="FF1F2A2C"/>
        <rFont val="Noto Sans CJK SC"/>
        <family val="2"/>
      </rPr>
      <t xml:space="preserve">유튜브 채널 페이지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동영상</t>
    </r>
    <r>
      <rPr>
        <sz val="10"/>
        <color rgb="FF1F2A2C"/>
        <rFont val="Arial"/>
        <family val="0"/>
        <charset val="1"/>
      </rPr>
      <t xml:space="preserve">·Shorts </t>
    </r>
    <r>
      <rPr>
        <sz val="10"/>
        <color rgb="FF1F2A2C"/>
        <rFont val="Noto Sans CJK SC"/>
        <family val="2"/>
      </rPr>
      <t xml:space="preserve">탭</t>
    </r>
    <r>
      <rPr>
        <sz val="10"/>
        <color rgb="FF1F2A2C"/>
        <rFont val="Arial"/>
        <family val="0"/>
        <charset val="1"/>
      </rPr>
      <t xml:space="preserve">) 2026-09-17 </t>
    </r>
    <r>
      <rPr>
        <sz val="10"/>
        <color rgb="FF1F2A2C"/>
        <rFont val="Noto Sans CJK SC"/>
        <family val="2"/>
      </rPr>
      <t xml:space="preserve">수집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구독자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누적 조회수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영상 수는 채널 정보 기준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</si>
  <si>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2. </t>
    </r>
    <r>
      <rPr>
        <sz val="10"/>
        <color rgb="FF1F2A2C"/>
        <rFont val="Noto Sans CJK SC"/>
        <family val="2"/>
      </rPr>
      <t xml:space="preserve">영상 단위 지표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길이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조회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업로드 시점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제목</t>
    </r>
    <r>
      <rPr>
        <sz val="10"/>
        <color rgb="FF1F2A2C"/>
        <rFont val="Arial"/>
        <family val="0"/>
        <charset val="1"/>
      </rPr>
      <t xml:space="preserve">)</t>
    </r>
    <r>
      <rPr>
        <sz val="10"/>
        <color rgb="FF1F2A2C"/>
        <rFont val="Noto Sans CJK SC"/>
        <family val="2"/>
      </rPr>
      <t xml:space="preserve">는 최신순 목록 최대 </t>
    </r>
    <r>
      <rPr>
        <sz val="10"/>
        <color rgb="FF1F2A2C"/>
        <rFont val="Arial"/>
        <family val="0"/>
        <charset val="1"/>
      </rPr>
      <t xml:space="preserve">180</t>
    </r>
    <r>
      <rPr>
        <sz val="10"/>
        <color rgb="FF1F2A2C"/>
        <rFont val="Noto Sans CJK SC"/>
        <family val="2"/>
      </rPr>
      <t xml:space="preserve">편 표본 기준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공간이엔지는 전체 </t>
    </r>
    <r>
      <rPr>
        <sz val="10"/>
        <color rgb="FF1F2A2C"/>
        <rFont val="Arial"/>
        <family val="0"/>
        <charset val="1"/>
      </rPr>
      <t xml:space="preserve">75</t>
    </r>
    <r>
      <rPr>
        <sz val="10"/>
        <color rgb="FF1F2A2C"/>
        <rFont val="Noto Sans CJK SC"/>
        <family val="2"/>
      </rPr>
      <t xml:space="preserve">편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</si>
  <si>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3. </t>
    </r>
    <r>
      <rPr>
        <sz val="10"/>
        <color rgb="FF1F2A2C"/>
        <rFont val="Noto Sans CJK SC"/>
        <family val="2"/>
      </rPr>
      <t xml:space="preserve">주제 분류는 제목 키워드 규칙 기반 자동 분류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한글 </t>
    </r>
    <r>
      <rPr>
        <sz val="10"/>
        <color rgb="FF1F2A2C"/>
        <rFont val="Arial"/>
        <family val="0"/>
        <charset val="1"/>
      </rPr>
      <t xml:space="preserve">NFC </t>
    </r>
    <r>
      <rPr>
        <sz val="10"/>
        <color rgb="FF1F2A2C"/>
        <rFont val="Noto Sans CJK SC"/>
        <family val="2"/>
      </rPr>
      <t xml:space="preserve">정규화 후 적용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수기 검수 전</t>
    </r>
    <r>
      <rPr>
        <sz val="10"/>
        <color rgb="FF1F2A2C"/>
        <rFont val="Arial"/>
        <family val="0"/>
        <charset val="1"/>
      </rPr>
      <t xml:space="preserve">). "</t>
    </r>
    <r>
      <rPr>
        <sz val="10"/>
        <color rgb="FF1F2A2C"/>
        <rFont val="Noto Sans CJK SC"/>
        <family val="2"/>
      </rPr>
      <t xml:space="preserve">기타</t>
    </r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는 규칙에 걸리지 않은 제목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</si>
  <si>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4. </t>
    </r>
    <r>
      <rPr>
        <sz val="10"/>
        <color rgb="FF1F2A2C"/>
        <rFont val="Noto Sans CJK SC"/>
        <family val="2"/>
      </rPr>
      <t xml:space="preserve">회사 정보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무아공간 홈페이지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회사소개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팀원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프로세스</t>
    </r>
    <r>
      <rPr>
        <sz val="10"/>
        <color rgb="FF1F2A2C"/>
        <rFont val="Arial"/>
        <family val="0"/>
        <charset val="1"/>
      </rPr>
      <t xml:space="preserve">), </t>
    </r>
    <r>
      <rPr>
        <sz val="10"/>
        <color rgb="FF1F2A2C"/>
        <rFont val="Noto Sans CJK SC"/>
        <family val="2"/>
      </rPr>
      <t xml:space="preserve">핸드메이커 홈파베르 윤상현 대표 인터뷰</t>
    </r>
    <r>
      <rPr>
        <sz val="10"/>
        <color rgb="FF1F2A2C"/>
        <rFont val="Arial"/>
        <family val="0"/>
        <charset val="1"/>
      </rPr>
      <t xml:space="preserve">(2024), </t>
    </r>
    <r>
      <rPr>
        <sz val="10"/>
        <color rgb="FF1F2A2C"/>
        <rFont val="Noto Sans CJK SC"/>
        <family val="2"/>
      </rPr>
      <t xml:space="preserve">잡코리아 디자인쉐어 기업정보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더 코나 홈페이지 검색 요약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공간이엔지 채널 소개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네이버 블로그 </t>
    </r>
    <r>
      <rPr>
        <sz val="10"/>
        <color rgb="FF1F2A2C"/>
        <rFont val="Arial"/>
        <family val="0"/>
        <charset val="1"/>
      </rPr>
      <t xml:space="preserve">RSS.</t>
    </r>
  </si>
  <si>
    <r>
      <rPr>
        <sz val="10"/>
        <color rgb="FF1F2A2C"/>
        <rFont val="Arial"/>
        <family val="0"/>
        <charset val="1"/>
      </rPr>
      <t xml:space="preserve">5. </t>
    </r>
    <r>
      <rPr>
        <sz val="10"/>
        <color rgb="FF1F2A2C"/>
        <rFont val="Noto Sans CJK SC"/>
        <family val="2"/>
      </rPr>
      <t xml:space="preserve">더 코나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홈파베르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디자인쉐어 홈페이지는 해외 접속 차단</t>
    </r>
    <r>
      <rPr>
        <sz val="10"/>
        <color rgb="FF1F2A2C"/>
        <rFont val="Arial"/>
        <family val="0"/>
        <charset val="1"/>
      </rPr>
      <t xml:space="preserve">(403)</t>
    </r>
    <r>
      <rPr>
        <sz val="10"/>
        <color rgb="FF1F2A2C"/>
        <rFont val="Noto Sans CJK SC"/>
        <family val="2"/>
      </rPr>
      <t xml:space="preserve">으로 직접 열람 불가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검색 요약과 채널 설명란으로 대체</t>
    </r>
    <r>
      <rPr>
        <sz val="10"/>
        <color rgb="FF1F2A2C"/>
        <rFont val="Arial"/>
        <family val="0"/>
        <charset val="1"/>
      </rPr>
      <t xml:space="preserve">.</t>
    </r>
  </si>
  <si>
    <r>
      <rPr>
        <sz val="10"/>
        <color rgb="FF1F2A2C"/>
        <rFont val="Arial"/>
        <family val="0"/>
        <charset val="1"/>
      </rPr>
      <t xml:space="preserve">6. </t>
    </r>
    <r>
      <rPr>
        <sz val="10"/>
        <color rgb="FF1F2A2C"/>
        <rFont val="Noto Sans CJK SC"/>
        <family val="2"/>
      </rPr>
      <t xml:space="preserve">점수</t>
    </r>
    <r>
      <rPr>
        <sz val="10"/>
        <color rgb="FF1F2A2C"/>
        <rFont val="Arial"/>
        <family val="0"/>
        <charset val="1"/>
      </rPr>
      <t xml:space="preserve">(1~5)</t>
    </r>
    <r>
      <rPr>
        <sz val="10"/>
        <color rgb="FF1F2A2C"/>
        <rFont val="Noto Sans CJK SC"/>
        <family val="2"/>
      </rPr>
      <t xml:space="preserve">는 위 수치와 공개 정보를 바탕으로 한 정성 평가</t>
    </r>
    <r>
      <rPr>
        <sz val="10"/>
        <color rgb="FF1F2A2C"/>
        <rFont val="Arial"/>
        <family val="0"/>
        <charset val="1"/>
      </rPr>
      <t xml:space="preserve">. </t>
    </r>
    <r>
      <rPr>
        <sz val="10"/>
        <color rgb="FF1F2A2C"/>
        <rFont val="Noto Sans CJK SC"/>
        <family val="2"/>
      </rPr>
      <t xml:space="preserve">스프레드시트 </t>
    </r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점수표</t>
    </r>
    <r>
      <rPr>
        <sz val="10"/>
        <color rgb="FF1F2A2C"/>
        <rFont val="Arial"/>
        <family val="0"/>
        <charset val="1"/>
      </rPr>
      <t xml:space="preserve">"</t>
    </r>
    <r>
      <rPr>
        <sz val="10"/>
        <color rgb="FF1F2A2C"/>
        <rFont val="Noto Sans CJK SC"/>
        <family val="2"/>
      </rPr>
      <t xml:space="preserve">에서 수정하면 합계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갭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우선순위가 자동 재계산됨</t>
    </r>
    <r>
      <rPr>
        <sz val="10"/>
        <color rgb="FF1F2A2C"/>
        <rFont val="Arial"/>
        <family val="0"/>
        <charset val="1"/>
      </rPr>
      <t xml:space="preserve">.</t>
    </r>
  </si>
  <si>
    <r>
      <rPr>
        <b val="true"/>
        <sz val="10"/>
        <color rgb="FF1F2A2C"/>
        <rFont val="Noto Sans CJK SC"/>
        <family val="2"/>
      </rPr>
      <t xml:space="preserve">주제 분류 규칙</t>
    </r>
    <r>
      <rPr>
        <b val="true"/>
        <sz val="10"/>
        <color rgb="FF1F2A2C"/>
        <rFont val="Arial"/>
        <family val="0"/>
        <charset val="1"/>
      </rPr>
      <t xml:space="preserve">(</t>
    </r>
    <r>
      <rPr>
        <b val="true"/>
        <sz val="10"/>
        <color rgb="FF1F2A2C"/>
        <rFont val="Noto Sans CJK SC"/>
        <family val="2"/>
      </rPr>
      <t xml:space="preserve">제목 키워드</t>
    </r>
    <r>
      <rPr>
        <b val="true"/>
        <sz val="10"/>
        <color rgb="FF1F2A2C"/>
        <rFont val="Arial"/>
        <family val="0"/>
        <charset val="1"/>
      </rPr>
      <t xml:space="preserve">, </t>
    </r>
    <r>
      <rPr>
        <b val="true"/>
        <sz val="10"/>
        <color rgb="FF1F2A2C"/>
        <rFont val="Noto Sans CJK SC"/>
        <family val="2"/>
      </rPr>
      <t xml:space="preserve">위에서부터 우선 적용</t>
    </r>
    <r>
      <rPr>
        <b val="true"/>
        <sz val="10"/>
        <color rgb="FF1F2A2C"/>
        <rFont val="Arial"/>
        <family val="0"/>
        <charset val="1"/>
      </rPr>
      <t xml:space="preserve">)</t>
    </r>
  </si>
  <si>
    <r>
      <rPr>
        <sz val="10"/>
        <color rgb="FF1F2A2C"/>
        <rFont val="Noto Sans CJK SC"/>
        <family val="2"/>
      </rPr>
      <t xml:space="preserve">고객인터뷰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후기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고객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인터뷰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후기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만족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랜선집들이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남의 집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배우님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찾아오</t>
    </r>
  </si>
  <si>
    <r>
      <rPr>
        <sz val="10"/>
        <color rgb="FF1F2A2C"/>
        <rFont val="Noto Sans CJK SC"/>
        <family val="2"/>
      </rPr>
      <t xml:space="preserve">인물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토크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브이로그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대표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디자이너가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직원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회사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사옥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토크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브이로그</t>
    </r>
    <r>
      <rPr>
        <sz val="10"/>
        <color rgb="FF1F2A2C"/>
        <rFont val="Arial"/>
        <family val="0"/>
        <charset val="1"/>
      </rPr>
      <t xml:space="preserve">, Vlog, </t>
    </r>
    <r>
      <rPr>
        <sz val="10"/>
        <color rgb="FF1F2A2C"/>
        <rFont val="Noto Sans CJK SC"/>
        <family val="2"/>
      </rPr>
      <t xml:space="preserve">일상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강연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인문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인생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출근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라이브</t>
    </r>
    <r>
      <rPr>
        <sz val="10"/>
        <color rgb="FF1F2A2C"/>
        <rFont val="Arial"/>
        <family val="0"/>
        <charset val="1"/>
      </rPr>
      <t xml:space="preserve">, CEO, </t>
    </r>
    <r>
      <rPr>
        <sz val="10"/>
        <color rgb="FF1F2A2C"/>
        <rFont val="Noto Sans CJK SC"/>
        <family val="2"/>
      </rPr>
      <t xml:space="preserve">연말결산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팝업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박람회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참견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쇼룸</t>
    </r>
    <r>
      <rPr>
        <sz val="10"/>
        <color rgb="FF1F2A2C"/>
        <rFont val="Arial"/>
        <family val="0"/>
        <charset val="1"/>
      </rPr>
      <t xml:space="preserve">, EBS, </t>
    </r>
    <r>
      <rPr>
        <sz val="10"/>
        <color rgb="FF1F2A2C"/>
        <rFont val="Noto Sans CJK SC"/>
        <family val="2"/>
      </rPr>
      <t xml:space="preserve">북이벤트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밀라노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하루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소개</t>
    </r>
  </si>
  <si>
    <r>
      <rPr>
        <sz val="10"/>
        <color rgb="FF1F2A2C"/>
        <rFont val="Noto Sans CJK SC"/>
        <family val="2"/>
      </rPr>
      <t xml:space="preserve">제품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자재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자재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바닥재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벽지</t>
    </r>
    <r>
      <rPr>
        <sz val="10"/>
        <color rgb="FF1F2A2C"/>
        <rFont val="Arial"/>
        <family val="0"/>
        <charset val="1"/>
      </rPr>
      <t xml:space="preserve">, LX, </t>
    </r>
    <r>
      <rPr>
        <sz val="10"/>
        <color rgb="FF1F2A2C"/>
        <rFont val="Noto Sans CJK SC"/>
        <family val="2"/>
      </rPr>
      <t xml:space="preserve">마루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창호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샷시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필름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매트리스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침대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가구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싱크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수전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조명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냉장고</t>
    </r>
    <r>
      <rPr>
        <sz val="10"/>
        <color rgb="FF1F2A2C"/>
        <rFont val="Arial"/>
        <family val="0"/>
        <charset val="1"/>
      </rPr>
      <t xml:space="preserve">, MUJI, </t>
    </r>
    <r>
      <rPr>
        <sz val="10"/>
        <color rgb="FF1F2A2C"/>
        <rFont val="Noto Sans CJK SC"/>
        <family val="2"/>
      </rPr>
      <t xml:space="preserve">제품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에디톤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타일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도어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수입주방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키친바흐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한샘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데이베드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외장재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이케아</t>
    </r>
  </si>
  <si>
    <r>
      <rPr>
        <sz val="10"/>
        <color rgb="FF1F2A2C"/>
        <rFont val="Noto Sans CJK SC"/>
        <family val="2"/>
      </rPr>
      <t xml:space="preserve">정보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노하우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방법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팁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가이드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체크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이유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하지 마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하세요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후회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망치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사기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추천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비교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비용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가격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예산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순서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단점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장점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절대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무조건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알아야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대세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정답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공식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해결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알려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트렌드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끝내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손해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가능할까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컬러마스터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공개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시작해</t>
    </r>
    <r>
      <rPr>
        <sz val="10"/>
        <color rgb="FF1F2A2C"/>
        <rFont val="Arial"/>
        <family val="0"/>
        <charset val="1"/>
      </rPr>
      <t xml:space="preserve">, Insight, </t>
    </r>
    <r>
      <rPr>
        <sz val="10"/>
        <color rgb="FF1F2A2C"/>
        <rFont val="Noto Sans CJK SC"/>
        <family val="2"/>
      </rPr>
      <t xml:space="preserve">청소</t>
    </r>
  </si>
  <si>
    <r>
      <rPr>
        <sz val="10"/>
        <color rgb="FF1F2A2C"/>
        <rFont val="Noto Sans CJK SC"/>
        <family val="2"/>
      </rPr>
      <t xml:space="preserve">시공사례</t>
    </r>
    <r>
      <rPr>
        <sz val="10"/>
        <color rgb="FF1F2A2C"/>
        <rFont val="Arial"/>
        <family val="0"/>
        <charset val="1"/>
      </rPr>
      <t xml:space="preserve">/</t>
    </r>
    <r>
      <rPr>
        <sz val="10"/>
        <color rgb="FF1F2A2C"/>
        <rFont val="Noto Sans CJK SC"/>
        <family val="2"/>
      </rPr>
      <t xml:space="preserve">현장</t>
    </r>
    <r>
      <rPr>
        <sz val="10"/>
        <color rgb="FF1F2A2C"/>
        <rFont val="Arial"/>
        <family val="0"/>
        <charset val="1"/>
      </rPr>
      <t xml:space="preserve">: </t>
    </r>
    <r>
      <rPr>
        <sz val="10"/>
        <color rgb="FF1F2A2C"/>
        <rFont val="Noto Sans CJK SC"/>
        <family val="2"/>
      </rPr>
      <t xml:space="preserve">평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아파트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인테리어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리모델링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현장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집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주택</t>
    </r>
    <r>
      <rPr>
        <sz val="10"/>
        <color rgb="FF1F2A2C"/>
        <rFont val="Arial"/>
        <family val="0"/>
        <charset val="1"/>
      </rPr>
      <t xml:space="preserve">, Before, </t>
    </r>
    <r>
      <rPr>
        <sz val="10"/>
        <color rgb="FF1F2A2C"/>
        <rFont val="Noto Sans CJK SC"/>
        <family val="2"/>
      </rPr>
      <t xml:space="preserve">하우스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거실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주방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안방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자녀방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아이방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욕실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화장실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드레스룸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다이닝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수납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구조변경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하이엔드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원룸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펜트하우스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신혼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시니어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레이아웃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배치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사무실</t>
    </r>
    <r>
      <rPr>
        <sz val="10"/>
        <color rgb="FF1F2A2C"/>
        <rFont val="Arial"/>
        <family val="0"/>
        <charset val="1"/>
      </rPr>
      <t xml:space="preserve">, </t>
    </r>
    <r>
      <rPr>
        <sz val="10"/>
        <color rgb="FF1F2A2C"/>
        <rFont val="Noto Sans CJK SC"/>
        <family val="2"/>
      </rPr>
      <t xml:space="preserve">단지명</t>
    </r>
    <r>
      <rPr>
        <sz val="10"/>
        <color rgb="FF1F2A2C"/>
        <rFont val="Arial"/>
        <family val="0"/>
        <charset val="1"/>
      </rPr>
      <t xml:space="preserve">(</t>
    </r>
    <r>
      <rPr>
        <sz val="10"/>
        <color rgb="FF1F2A2C"/>
        <rFont val="Noto Sans CJK SC"/>
        <family val="2"/>
      </rPr>
      <t xml:space="preserve">자이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래미안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푸르지오</t>
    </r>
    <r>
      <rPr>
        <sz val="10"/>
        <color rgb="FF1F2A2C"/>
        <rFont val="Arial"/>
        <family val="0"/>
        <charset val="1"/>
      </rPr>
      <t xml:space="preserve">·</t>
    </r>
    <r>
      <rPr>
        <sz val="10"/>
        <color rgb="FF1F2A2C"/>
        <rFont val="Noto Sans CJK SC"/>
        <family val="2"/>
      </rPr>
      <t xml:space="preserve">캐슬 등</t>
    </r>
    <r>
      <rPr>
        <sz val="10"/>
        <color rgb="FF1F2A2C"/>
        <rFont val="Arial"/>
        <family val="0"/>
        <charset val="1"/>
      </rPr>
      <t xml:space="preserve">)</t>
    </r>
  </si>
  <si>
    <r>
      <rPr>
        <b val="true"/>
        <sz val="10"/>
        <color rgb="FF1F2A2C"/>
        <rFont val="Noto Sans CJK SC"/>
        <family val="2"/>
      </rPr>
      <t xml:space="preserve">채널 </t>
    </r>
    <r>
      <rPr>
        <b val="true"/>
        <sz val="10"/>
        <color rgb="FF1F2A2C"/>
        <rFont val="Arial"/>
        <family val="0"/>
        <charset val="1"/>
      </rPr>
      <t xml:space="preserve">URL</t>
    </r>
  </si>
  <si>
    <r>
      <rPr>
        <sz val="10"/>
        <color rgb="FF1F2A2C"/>
        <rFont val="Noto Sans CJK SC"/>
        <family val="2"/>
      </rPr>
      <t xml:space="preserve">무아공간</t>
    </r>
    <r>
      <rPr>
        <sz val="10"/>
        <color rgb="FF1F2A2C"/>
        <rFont val="Arial"/>
        <family val="0"/>
        <charset val="1"/>
      </rPr>
      <t xml:space="preserve">: https://www.youtube.com/@muagonggan</t>
    </r>
  </si>
  <si>
    <r>
      <rPr>
        <sz val="10"/>
        <color rgb="FF1F2A2C"/>
        <rFont val="Noto Sans CJK SC"/>
        <family val="2"/>
      </rPr>
      <t xml:space="preserve">인테리언니</t>
    </r>
    <r>
      <rPr>
        <sz val="10"/>
        <color rgb="FF1F2A2C"/>
        <rFont val="Arial"/>
        <family val="0"/>
        <charset val="1"/>
      </rPr>
      <t xml:space="preserve">: https://www.youtube.com/@intelliunnie</t>
    </r>
  </si>
  <si>
    <r>
      <rPr>
        <sz val="10"/>
        <color rgb="FF1F2A2C"/>
        <rFont val="Noto Sans CJK SC"/>
        <family val="2"/>
      </rPr>
      <t xml:space="preserve">홈파베르</t>
    </r>
    <r>
      <rPr>
        <sz val="10"/>
        <color rgb="FF1F2A2C"/>
        <rFont val="Arial"/>
        <family val="0"/>
        <charset val="1"/>
      </rPr>
      <t xml:space="preserve">: https://www.youtube.com/@homefaber_design</t>
    </r>
  </si>
  <si>
    <r>
      <rPr>
        <sz val="10"/>
        <color rgb="FF1F2A2C"/>
        <rFont val="Noto Sans CJK SC"/>
        <family val="2"/>
      </rPr>
      <t xml:space="preserve">디자인쉐어</t>
    </r>
    <r>
      <rPr>
        <sz val="10"/>
        <color rgb="FF1F2A2C"/>
        <rFont val="Arial"/>
        <family val="0"/>
        <charset val="1"/>
      </rPr>
      <t xml:space="preserve">: https://www.youtube.com/@Design_Share</t>
    </r>
  </si>
  <si>
    <r>
      <rPr>
        <sz val="10"/>
        <color rgb="FF1F2A2C"/>
        <rFont val="Noto Sans CJK SC"/>
        <family val="2"/>
      </rPr>
      <t xml:space="preserve">공간이엔지</t>
    </r>
    <r>
      <rPr>
        <sz val="10"/>
        <color rgb="FF1F2A2C"/>
        <rFont val="Arial"/>
        <family val="0"/>
        <charset val="1"/>
      </rPr>
      <t xml:space="preserve">: https://www.youtube.com/@gongganeng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</si>
</sst>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"/>
    <numFmt numFmtId="167" formatCode="0"/>
    <numFmt numFmtId="168" formatCode="0.0"/>
    <numFmt numFmtId="169" formatCode="0%"/>
    <numFmt numFmtId="170" formatCode="#,##0.0"/>
    <numFmt numFmtId="171" formatCode="General"/>
    <numFmt numFmtId="172" formatCode="0.0;\-0.0"/>
    <numFmt numFmtId="173" formatCode="0%;\-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2C"/>
      <name val="Noto Sans CJK SC"/>
      <family val="2"/>
    </font>
    <font>
      <b val="true"/>
      <sz val="16"/>
      <color rgb="FF1F2A2C"/>
      <name val="Arial"/>
      <family val="0"/>
      <charset val="1"/>
    </font>
    <font>
      <sz val="10"/>
      <color rgb="FF6B7775"/>
      <name val="Noto Sans CJK SC"/>
      <family val="2"/>
    </font>
    <font>
      <sz val="10"/>
      <color rgb="FF6B777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2A2C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F2A2C"/>
      <name val="Arial"/>
      <family val="0"/>
      <charset val="1"/>
    </font>
    <font>
      <b val="true"/>
      <sz val="10"/>
      <color rgb="FF1F2A2C"/>
      <name val="Arial"/>
      <family val="0"/>
      <charset val="1"/>
    </font>
    <font>
      <b val="true"/>
      <sz val="10"/>
      <color rgb="FFB5541E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sz val="10"/>
      <color rgb="FF1F2A2C"/>
      <name val="Noto Sans CJK SC"/>
      <family val="2"/>
    </font>
    <font>
      <b val="true"/>
      <sz val="10"/>
      <color rgb="FFB5541E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99"/>
      </patternFill>
    </fill>
    <fill>
      <patternFill patternType="solid">
        <fgColor rgb="FFF6E3D3"/>
        <bgColor rgb="FFFFF7DA"/>
      </patternFill>
    </fill>
    <fill>
      <patternFill patternType="solid">
        <fgColor rgb="FFFFF7D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D8"/>
      </left>
      <right style="thin">
        <color rgb="FFD5DAD8"/>
      </right>
      <top style="thin">
        <color rgb="FFD5DAD8"/>
      </top>
      <bottom style="thin">
        <color rgb="FFD5DA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7775"/>
      <rgbColor rgb="FF800080"/>
      <rgbColor rgb="FF4F81BD"/>
      <rgbColor rgb="FFD9D9D9"/>
      <rgbColor rgb="FF878787"/>
      <rgbColor rgb="FF8064A2"/>
      <rgbColor rgb="FFBE4B48"/>
      <rgbColor rgb="FFFFF7DA"/>
      <rgbColor rgb="FFF9F9F9"/>
      <rgbColor rgb="FF660066"/>
      <rgbColor rgb="FFFF8080"/>
      <rgbColor rgb="FF0066CC"/>
      <rgbColor rgb="FFD5DA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3D3"/>
      <rgbColor rgb="FF4A7EBB"/>
      <rgbColor rgb="FF4BACC6"/>
      <rgbColor rgb="FF98B855"/>
      <rgbColor rgb="FFFFCC00"/>
      <rgbColor rgb="FFF79646"/>
      <rgbColor rgb="FFFF6600"/>
      <rgbColor rgb="FF7D5FA0"/>
      <rgbColor rgb="FF9BBB59"/>
      <rgbColor rgb="FF1F4E5F"/>
      <rgbColor rgb="FF46AAC4"/>
      <rgbColor rgb="FF003300"/>
      <rgbColor rgb="FF333300"/>
      <rgbColor rgb="FFB5541E"/>
      <rgbColor rgb="FFC0504D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구독자 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채널지표!$B$4:$F$4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채널지표!$B$5:$F$5</c:f>
              <c:numCache>
                <c:formatCode>#,##0</c:formatCode>
                <c:ptCount val="5"/>
                <c:pt idx="0">
                  <c:v>300000</c:v>
                </c:pt>
                <c:pt idx="1">
                  <c:v>296000</c:v>
                </c:pt>
                <c:pt idx="2">
                  <c:v>68100</c:v>
                </c:pt>
                <c:pt idx="3">
                  <c:v>38400</c:v>
                </c:pt>
                <c:pt idx="4">
                  <c:v>216</c:v>
                </c:pt>
              </c:numCache>
            </c:numRef>
          </c:val>
        </c:ser>
        <c:gapWidth val="150"/>
        <c:overlap val="0"/>
        <c:axId val="82559871"/>
        <c:axId val="17281061"/>
      </c:barChart>
      <c:catAx>
        <c:axId val="8255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81061"/>
        <c:crosses val="autoZero"/>
        <c:auto val="1"/>
        <c:lblAlgn val="ctr"/>
        <c:lblOffset val="100"/>
        <c:noMultiLvlLbl val="0"/>
      </c:catAx>
      <c:valAx>
        <c:axId val="17281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59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영상당 평균 조회수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채널지표!$B$4:$F$4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채널지표!$B$24:$F$24</c:f>
              <c:numCache>
                <c:formatCode>#,##0</c:formatCode>
                <c:ptCount val="5"/>
                <c:pt idx="0">
                  <c:v>55677.7620927937</c:v>
                </c:pt>
                <c:pt idx="1">
                  <c:v>343477.368794326</c:v>
                </c:pt>
                <c:pt idx="2">
                  <c:v>27362.832195122</c:v>
                </c:pt>
                <c:pt idx="3">
                  <c:v>11250.3669724771</c:v>
                </c:pt>
                <c:pt idx="4">
                  <c:v>1105.40740740741</c:v>
                </c:pt>
              </c:numCache>
            </c:numRef>
          </c:val>
        </c:ser>
        <c:gapWidth val="150"/>
        <c:overlap val="0"/>
        <c:axId val="71752440"/>
        <c:axId val="5713879"/>
      </c:barChart>
      <c:catAx>
        <c:axId val="7175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3879"/>
        <c:crosses val="autoZero"/>
        <c:auto val="1"/>
        <c:lblAlgn val="ctr"/>
        <c:lblOffset val="100"/>
        <c:noMultiLvlLbl val="0"/>
      </c:catAx>
      <c:valAx>
        <c:axId val="5713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52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10대 항목 프로파일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점수표!C4</c:f>
              <c:strCache>
                <c:ptCount val="1"/>
                <c:pt idx="0">
                  <c:v>무아공간</c:v>
                </c:pt>
              </c:strCache>
            </c:strRef>
          </c:tx>
          <c:spPr>
            <a:solidFill>
              <a:srgbClr val="4a7ebb"/>
            </a:solidFill>
            <a:ln w="66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점수표!$B$5:$B$14</c:f>
              <c:strCache>
                <c:ptCount val="10"/>
                <c:pt idx="0">
                  <c:v>채널 규모·도달력</c:v>
                </c:pt>
                <c:pt idx="1">
                  <c:v>콘텐츠 포맷·영상 길이</c:v>
                </c:pt>
                <c:pt idx="2">
                  <c:v>업로드 리듬·지속성</c:v>
                </c:pt>
                <c:pt idx="3">
                  <c:v>콘텐츠 주제 믹스</c:v>
                </c:pt>
                <c:pt idx="4">
                  <c:v>영상 기법·제작 방식</c:v>
                </c:pt>
                <c:pt idx="5">
                  <c:v>제목·썸네일 기법</c:v>
                </c:pt>
                <c:pt idx="6">
                  <c:v>브랜딩·페르소나</c:v>
                </c:pt>
                <c:pt idx="7">
                  <c:v>리드 전환 시스템</c:v>
                </c:pt>
                <c:pt idx="8">
                  <c:v>회사 구성·조직</c:v>
                </c:pt>
                <c:pt idx="9">
                  <c:v>운영 방식·멀티채널 생태계</c:v>
                </c:pt>
              </c:strCache>
            </c:strRef>
          </c:cat>
          <c:val>
            <c:numRef>
              <c:f>점수표!$C$5:$C$14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점수표!D4</c:f>
              <c:strCache>
                <c:ptCount val="1"/>
                <c:pt idx="0">
                  <c:v>인테리언니</c:v>
                </c:pt>
              </c:strCache>
            </c:strRef>
          </c:tx>
          <c:spPr>
            <a:solidFill>
              <a:srgbClr val="be4b48"/>
            </a:solidFill>
            <a:ln w="66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점수표!$B$5:$B$14</c:f>
              <c:strCache>
                <c:ptCount val="10"/>
                <c:pt idx="0">
                  <c:v>채널 규모·도달력</c:v>
                </c:pt>
                <c:pt idx="1">
                  <c:v>콘텐츠 포맷·영상 길이</c:v>
                </c:pt>
                <c:pt idx="2">
                  <c:v>업로드 리듬·지속성</c:v>
                </c:pt>
                <c:pt idx="3">
                  <c:v>콘텐츠 주제 믹스</c:v>
                </c:pt>
                <c:pt idx="4">
                  <c:v>영상 기법·제작 방식</c:v>
                </c:pt>
                <c:pt idx="5">
                  <c:v>제목·썸네일 기법</c:v>
                </c:pt>
                <c:pt idx="6">
                  <c:v>브랜딩·페르소나</c:v>
                </c:pt>
                <c:pt idx="7">
                  <c:v>리드 전환 시스템</c:v>
                </c:pt>
                <c:pt idx="8">
                  <c:v>회사 구성·조직</c:v>
                </c:pt>
                <c:pt idx="9">
                  <c:v>운영 방식·멀티채널 생태계</c:v>
                </c:pt>
              </c:strCache>
            </c:strRef>
          </c:cat>
          <c:val>
            <c:numRef>
              <c:f>점수표!$D$5:$D$14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ser>
          <c:idx val="2"/>
          <c:order val="2"/>
          <c:tx>
            <c:strRef>
              <c:f>점수표!E4</c:f>
              <c:strCache>
                <c:ptCount val="1"/>
                <c:pt idx="0">
                  <c:v>홈파베르</c:v>
                </c:pt>
              </c:strCache>
            </c:strRef>
          </c:tx>
          <c:spPr>
            <a:solidFill>
              <a:srgbClr val="98b855"/>
            </a:solidFill>
            <a:ln w="66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점수표!$B$5:$B$14</c:f>
              <c:strCache>
                <c:ptCount val="10"/>
                <c:pt idx="0">
                  <c:v>채널 규모·도달력</c:v>
                </c:pt>
                <c:pt idx="1">
                  <c:v>콘텐츠 포맷·영상 길이</c:v>
                </c:pt>
                <c:pt idx="2">
                  <c:v>업로드 리듬·지속성</c:v>
                </c:pt>
                <c:pt idx="3">
                  <c:v>콘텐츠 주제 믹스</c:v>
                </c:pt>
                <c:pt idx="4">
                  <c:v>영상 기법·제작 방식</c:v>
                </c:pt>
                <c:pt idx="5">
                  <c:v>제목·썸네일 기법</c:v>
                </c:pt>
                <c:pt idx="6">
                  <c:v>브랜딩·페르소나</c:v>
                </c:pt>
                <c:pt idx="7">
                  <c:v>리드 전환 시스템</c:v>
                </c:pt>
                <c:pt idx="8">
                  <c:v>회사 구성·조직</c:v>
                </c:pt>
                <c:pt idx="9">
                  <c:v>운영 방식·멀티채널 생태계</c:v>
                </c:pt>
              </c:strCache>
            </c:strRef>
          </c:cat>
          <c:val>
            <c:numRef>
              <c:f>점수표!$E$5:$E$14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ser>
          <c:idx val="3"/>
          <c:order val="3"/>
          <c:tx>
            <c:strRef>
              <c:f>점수표!F4</c:f>
              <c:strCache>
                <c:ptCount val="1"/>
                <c:pt idx="0">
                  <c:v>디자인쉐어</c:v>
                </c:pt>
              </c:strCache>
            </c:strRef>
          </c:tx>
          <c:spPr>
            <a:solidFill>
              <a:srgbClr val="7d5fa0"/>
            </a:solidFill>
            <a:ln w="66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점수표!$B$5:$B$14</c:f>
              <c:strCache>
                <c:ptCount val="10"/>
                <c:pt idx="0">
                  <c:v>채널 규모·도달력</c:v>
                </c:pt>
                <c:pt idx="1">
                  <c:v>콘텐츠 포맷·영상 길이</c:v>
                </c:pt>
                <c:pt idx="2">
                  <c:v>업로드 리듬·지속성</c:v>
                </c:pt>
                <c:pt idx="3">
                  <c:v>콘텐츠 주제 믹스</c:v>
                </c:pt>
                <c:pt idx="4">
                  <c:v>영상 기법·제작 방식</c:v>
                </c:pt>
                <c:pt idx="5">
                  <c:v>제목·썸네일 기법</c:v>
                </c:pt>
                <c:pt idx="6">
                  <c:v>브랜딩·페르소나</c:v>
                </c:pt>
                <c:pt idx="7">
                  <c:v>리드 전환 시스템</c:v>
                </c:pt>
                <c:pt idx="8">
                  <c:v>회사 구성·조직</c:v>
                </c:pt>
                <c:pt idx="9">
                  <c:v>운영 방식·멀티채널 생태계</c:v>
                </c:pt>
              </c:strCache>
            </c:strRef>
          </c:cat>
          <c:val>
            <c:numRef>
              <c:f>점수표!$F$5:$F$14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ser>
          <c:idx val="4"/>
          <c:order val="4"/>
          <c:tx>
            <c:strRef>
              <c:f>점수표!G4</c:f>
              <c:strCache>
                <c:ptCount val="1"/>
                <c:pt idx="0">
                  <c:v>공간이엔지</c:v>
                </c:pt>
              </c:strCache>
            </c:strRef>
          </c:tx>
          <c:spPr>
            <a:solidFill>
              <a:srgbClr val="46aac4"/>
            </a:solidFill>
            <a:ln w="6660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점수표!$B$5:$B$14</c:f>
              <c:strCache>
                <c:ptCount val="10"/>
                <c:pt idx="0">
                  <c:v>채널 규모·도달력</c:v>
                </c:pt>
                <c:pt idx="1">
                  <c:v>콘텐츠 포맷·영상 길이</c:v>
                </c:pt>
                <c:pt idx="2">
                  <c:v>업로드 리듬·지속성</c:v>
                </c:pt>
                <c:pt idx="3">
                  <c:v>콘텐츠 주제 믹스</c:v>
                </c:pt>
                <c:pt idx="4">
                  <c:v>영상 기법·제작 방식</c:v>
                </c:pt>
                <c:pt idx="5">
                  <c:v>제목·썸네일 기법</c:v>
                </c:pt>
                <c:pt idx="6">
                  <c:v>브랜딩·페르소나</c:v>
                </c:pt>
                <c:pt idx="7">
                  <c:v>리드 전환 시스템</c:v>
                </c:pt>
                <c:pt idx="8">
                  <c:v>회사 구성·조직</c:v>
                </c:pt>
                <c:pt idx="9">
                  <c:v>운영 방식·멀티채널 생태계</c:v>
                </c:pt>
              </c:strCache>
            </c:strRef>
          </c:cat>
          <c:val>
            <c:numRef>
              <c:f>점수표!$G$5:$G$14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</c:ser>
        <c:axId val="26566150"/>
        <c:axId val="1967534"/>
      </c:radarChart>
      <c:catAx>
        <c:axId val="265661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7534"/>
        <c:crosses val="autoZero"/>
        <c:auto val="1"/>
        <c:lblAlgn val="ctr"/>
        <c:lblOffset val="100"/>
        <c:noMultiLvlLbl val="0"/>
      </c:catAx>
      <c:valAx>
        <c:axId val="1967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661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주제 믹스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'콘텐츠 주제 분포'!A5</c:f>
              <c:strCache>
                <c:ptCount val="1"/>
                <c:pt idx="0">
                  <c:v>시공사례/현장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'콘텐츠 주제 분포'!$B$4:$F$4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'콘텐츠 주제 분포'!$B$5:$F$5</c:f>
              <c:numCache>
                <c:formatCode>0%</c:formatCode>
                <c:ptCount val="5"/>
                <c:pt idx="0">
                  <c:v>0.49</c:v>
                </c:pt>
                <c:pt idx="1">
                  <c:v>0.09</c:v>
                </c:pt>
                <c:pt idx="2">
                  <c:v>0.27</c:v>
                </c:pt>
                <c:pt idx="3">
                  <c:v>0.75</c:v>
                </c:pt>
                <c:pt idx="4">
                  <c:v>0.41</c:v>
                </c:pt>
              </c:numCache>
            </c:numRef>
          </c:val>
        </c:ser>
        <c:ser>
          <c:idx val="1"/>
          <c:order val="1"/>
          <c:tx>
            <c:strRef>
              <c:f>'콘텐츠 주제 분포'!A6</c:f>
              <c:strCache>
                <c:ptCount val="1"/>
                <c:pt idx="0">
                  <c:v>정보/노하우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'콘텐츠 주제 분포'!$B$4:$F$4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'콘텐츠 주제 분포'!$B$6:$F$6</c:f>
              <c:numCache>
                <c:formatCode>0%</c:formatCode>
                <c:ptCount val="5"/>
                <c:pt idx="0">
                  <c:v>0.27</c:v>
                </c:pt>
                <c:pt idx="1">
                  <c:v>0.38</c:v>
                </c:pt>
                <c:pt idx="2">
                  <c:v>0.39</c:v>
                </c:pt>
                <c:pt idx="3">
                  <c:v>0.1</c:v>
                </c:pt>
                <c:pt idx="4">
                  <c:v>0.13</c:v>
                </c:pt>
              </c:numCache>
            </c:numRef>
          </c:val>
        </c:ser>
        <c:ser>
          <c:idx val="2"/>
          <c:order val="2"/>
          <c:tx>
            <c:strRef>
              <c:f>'콘텐츠 주제 분포'!A7</c:f>
              <c:strCache>
                <c:ptCount val="1"/>
                <c:pt idx="0">
                  <c:v>제품/자재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'콘텐츠 주제 분포'!$B$4:$F$4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'콘텐츠 주제 분포'!$B$7:$F$7</c:f>
              <c:numCache>
                <c:formatCode>0%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0.21</c:v>
                </c:pt>
                <c:pt idx="3">
                  <c:v>0.07</c:v>
                </c:pt>
                <c:pt idx="4">
                  <c:v>0.41</c:v>
                </c:pt>
              </c:numCache>
            </c:numRef>
          </c:val>
        </c:ser>
        <c:ser>
          <c:idx val="3"/>
          <c:order val="3"/>
          <c:tx>
            <c:strRef>
              <c:f>'콘텐츠 주제 분포'!A8</c:f>
              <c:strCache>
                <c:ptCount val="1"/>
                <c:pt idx="0">
                  <c:v>고객인터뷰/후기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'콘텐츠 주제 분포'!$B$4:$F$4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'콘텐츠 주제 분포'!$B$8:$F$8</c:f>
              <c:numCache>
                <c:formatCode>0%</c:formatCode>
                <c:ptCount val="5"/>
                <c:pt idx="0">
                  <c:v>0.06</c:v>
                </c:pt>
                <c:pt idx="1">
                  <c:v>0.09</c:v>
                </c:pt>
                <c:pt idx="2">
                  <c:v>0.1</c:v>
                </c:pt>
                <c:pt idx="3">
                  <c:v>0.04</c:v>
                </c:pt>
                <c:pt idx="4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'콘텐츠 주제 분포'!A9</c:f>
              <c:strCache>
                <c:ptCount val="1"/>
                <c:pt idx="0">
                  <c:v>인물/토크/브이로그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'콘텐츠 주제 분포'!$B$4:$F$4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'콘텐츠 주제 분포'!$B$9:$F$9</c:f>
              <c:numCache>
                <c:formatCode>0%</c:formatCode>
                <c:ptCount val="5"/>
                <c:pt idx="0">
                  <c:v>0.09</c:v>
                </c:pt>
                <c:pt idx="1">
                  <c:v>0.15</c:v>
                </c:pt>
                <c:pt idx="2">
                  <c:v>0.04</c:v>
                </c:pt>
                <c:pt idx="3">
                  <c:v>0.05</c:v>
                </c:pt>
                <c:pt idx="4">
                  <c:v>0.01</c:v>
                </c:pt>
              </c:numCache>
            </c:numRef>
          </c:val>
        </c:ser>
        <c:ser>
          <c:idx val="5"/>
          <c:order val="5"/>
          <c:tx>
            <c:strRef>
              <c:f>'콘텐츠 주제 분포'!A10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'콘텐츠 주제 분포'!$B$4:$F$4</c:f>
              <c:strCache>
                <c:ptCount val="5"/>
                <c:pt idx="0">
                  <c:v>무아공간</c:v>
                </c:pt>
                <c:pt idx="1">
                  <c:v>인테리언니</c:v>
                </c:pt>
                <c:pt idx="2">
                  <c:v>홈파베르</c:v>
                </c:pt>
                <c:pt idx="3">
                  <c:v>디자인쉐어</c:v>
                </c:pt>
                <c:pt idx="4">
                  <c:v>공간이엔지</c:v>
                </c:pt>
              </c:strCache>
            </c:strRef>
          </c:cat>
          <c:val>
            <c:numRef>
              <c:f>'콘텐츠 주제 분포'!$B$10:$F$10</c:f>
              <c:numCache>
                <c:formatCode>0%</c:formatCode>
                <c:ptCount val="5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25110143"/>
        <c:axId val="42827369"/>
      </c:barChart>
      <c:catAx>
        <c:axId val="2511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27369"/>
        <c:crosses val="autoZero"/>
        <c:auto val="1"/>
        <c:lblAlgn val="ctr"/>
        <c:lblOffset val="100"/>
        <c:noMultiLvlLbl val="0"/>
      </c:catAx>
      <c:valAx>
        <c:axId val="42827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10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78120</xdr:rowOff>
    </xdr:from>
    <xdr:to>
      <xdr:col>15</xdr:col>
      <xdr:colOff>486720</xdr:colOff>
      <xdr:row>15</xdr:row>
      <xdr:rowOff>22320</xdr:rowOff>
    </xdr:to>
    <xdr:graphicFrame>
      <xdr:nvGraphicFramePr>
        <xdr:cNvPr id="0" name="Chart 1"/>
        <xdr:cNvGraphicFramePr/>
      </xdr:nvGraphicFramePr>
      <xdr:xfrm>
        <a:off x="1276020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153000</xdr:rowOff>
    </xdr:from>
    <xdr:to>
      <xdr:col>15</xdr:col>
      <xdr:colOff>486720</xdr:colOff>
      <xdr:row>30</xdr:row>
      <xdr:rowOff>113400</xdr:rowOff>
    </xdr:to>
    <xdr:graphicFrame>
      <xdr:nvGraphicFramePr>
        <xdr:cNvPr id="1" name="Chart 2"/>
        <xdr:cNvGraphicFramePr/>
      </xdr:nvGraphicFramePr>
      <xdr:xfrm>
        <a:off x="12760200" y="3619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78120</xdr:rowOff>
    </xdr:from>
    <xdr:to>
      <xdr:col>18</xdr:col>
      <xdr:colOff>447840</xdr:colOff>
      <xdr:row>23</xdr:row>
      <xdr:rowOff>37440</xdr:rowOff>
    </xdr:to>
    <xdr:graphicFrame>
      <xdr:nvGraphicFramePr>
        <xdr:cNvPr id="2" name="Chart 1"/>
        <xdr:cNvGraphicFramePr/>
      </xdr:nvGraphicFramePr>
      <xdr:xfrm>
        <a:off x="12938040" y="57168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78120</xdr:rowOff>
    </xdr:from>
    <xdr:to>
      <xdr:col>16</xdr:col>
      <xdr:colOff>447840</xdr:colOff>
      <xdr:row>19</xdr:row>
      <xdr:rowOff>79560</xdr:rowOff>
    </xdr:to>
    <xdr:graphicFrame>
      <xdr:nvGraphicFramePr>
        <xdr:cNvPr id="3" name="Chart 1"/>
        <xdr:cNvGraphicFramePr/>
      </xdr:nvGraphicFramePr>
      <xdr:xfrm>
        <a:off x="117824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6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.65" hidden="false" customHeight="false" outlineLevel="0" collapsed="false">
      <c r="A5" s="4" t="s">
        <v>10</v>
      </c>
      <c r="B5" s="5" t="n">
        <v>300000</v>
      </c>
      <c r="C5" s="5" t="n">
        <v>296000</v>
      </c>
      <c r="D5" s="5" t="n">
        <v>68100</v>
      </c>
      <c r="E5" s="5" t="n">
        <v>38400</v>
      </c>
      <c r="F5" s="6" t="n">
        <v>216</v>
      </c>
      <c r="G5" s="7" t="n">
        <f aca="false">AVERAGE(B5:E5)</f>
        <v>175625</v>
      </c>
      <c r="H5" s="8" t="n">
        <f aca="false">IFERROR(F5/G5,"")</f>
        <v>0.00122989323843416</v>
      </c>
    </row>
    <row r="6" customFormat="false" ht="15.65" hidden="false" customHeight="false" outlineLevel="0" collapsed="false">
      <c r="A6" s="4" t="s">
        <v>11</v>
      </c>
      <c r="B6" s="5" t="n">
        <v>56401573</v>
      </c>
      <c r="C6" s="5" t="n">
        <v>48430309</v>
      </c>
      <c r="D6" s="5" t="n">
        <v>28046903</v>
      </c>
      <c r="E6" s="5" t="n">
        <v>8584030</v>
      </c>
      <c r="F6" s="6" t="n">
        <v>89538</v>
      </c>
      <c r="G6" s="7" t="n">
        <f aca="false">AVERAGE(B6:E6)</f>
        <v>35365703.75</v>
      </c>
      <c r="H6" s="8" t="n">
        <f aca="false">IFERROR(F6/G6,"")</f>
        <v>0.00253177486960089</v>
      </c>
    </row>
    <row r="7" customFormat="false" ht="15.65" hidden="false" customHeight="false" outlineLevel="0" collapsed="false">
      <c r="A7" s="4" t="s">
        <v>12</v>
      </c>
      <c r="B7" s="5" t="n">
        <v>1013</v>
      </c>
      <c r="C7" s="5" t="n">
        <v>141</v>
      </c>
      <c r="D7" s="5" t="n">
        <v>1025</v>
      </c>
      <c r="E7" s="5" t="n">
        <v>763</v>
      </c>
      <c r="F7" s="6" t="n">
        <v>81</v>
      </c>
      <c r="G7" s="7" t="n">
        <f aca="false">AVERAGE(B7:E7)</f>
        <v>735.5</v>
      </c>
      <c r="H7" s="8" t="n">
        <f aca="false">IFERROR(F7/G7,"")</f>
        <v>0.110129163834126</v>
      </c>
    </row>
    <row r="8" customFormat="false" ht="15.65" hidden="false" customHeight="false" outlineLevel="0" collapsed="false">
      <c r="A8" s="4" t="s">
        <v>13</v>
      </c>
      <c r="B8" s="9" t="n">
        <v>7</v>
      </c>
      <c r="C8" s="9" t="n">
        <v>4</v>
      </c>
      <c r="D8" s="9" t="n">
        <v>8</v>
      </c>
      <c r="E8" s="9" t="n">
        <v>3</v>
      </c>
      <c r="F8" s="10" t="n">
        <v>3</v>
      </c>
      <c r="G8" s="11" t="n">
        <f aca="false">AVERAGE(B8:E8)</f>
        <v>5.5</v>
      </c>
      <c r="H8" s="8" t="n">
        <f aca="false">IFERROR(F8/G8,"")</f>
        <v>0.545454545454545</v>
      </c>
    </row>
    <row r="9" customFormat="false" ht="15.65" hidden="false" customHeight="false" outlineLevel="0" collapsed="false">
      <c r="A9" s="4" t="s">
        <v>14</v>
      </c>
      <c r="B9" s="9" t="n">
        <v>13</v>
      </c>
      <c r="C9" s="9" t="n">
        <v>9</v>
      </c>
      <c r="D9" s="9" t="n">
        <v>16</v>
      </c>
      <c r="E9" s="9" t="n">
        <v>11</v>
      </c>
      <c r="F9" s="10" t="n">
        <v>4</v>
      </c>
      <c r="G9" s="11" t="n">
        <f aca="false">AVERAGE(B9:E9)</f>
        <v>12.25</v>
      </c>
      <c r="H9" s="8" t="n">
        <f aca="false">IFERROR(F9/G9,"")</f>
        <v>0.326530612244898</v>
      </c>
    </row>
    <row r="10" customFormat="false" ht="15.65" hidden="false" customHeight="false" outlineLevel="0" collapsed="false">
      <c r="A10" s="4" t="s">
        <v>15</v>
      </c>
      <c r="B10" s="9" t="n">
        <v>63</v>
      </c>
      <c r="C10" s="9" t="n">
        <v>61</v>
      </c>
      <c r="D10" s="9" t="n">
        <v>93</v>
      </c>
      <c r="E10" s="9" t="n">
        <v>92</v>
      </c>
      <c r="F10" s="10" t="n">
        <v>49</v>
      </c>
      <c r="G10" s="11" t="n">
        <f aca="false">AVERAGE(B10:E10)</f>
        <v>77.25</v>
      </c>
      <c r="H10" s="8" t="n">
        <f aca="false">IFERROR(F10/G10,"")</f>
        <v>0.634304207119741</v>
      </c>
    </row>
    <row r="11" customFormat="false" ht="15.65" hidden="false" customHeight="false" outlineLevel="0" collapsed="false">
      <c r="A11" s="4" t="s">
        <v>16</v>
      </c>
      <c r="B11" s="12" t="n">
        <v>15.8</v>
      </c>
      <c r="C11" s="12" t="n">
        <v>22.2</v>
      </c>
      <c r="D11" s="12" t="n">
        <v>10.7</v>
      </c>
      <c r="E11" s="12" t="n">
        <v>9.8</v>
      </c>
      <c r="F11" s="13" t="n">
        <v>1.6</v>
      </c>
      <c r="G11" s="14" t="n">
        <f aca="false">AVERAGE(B11:E11)</f>
        <v>14.625</v>
      </c>
      <c r="H11" s="8" t="n">
        <f aca="false">IFERROR(F11/G11,"")</f>
        <v>0.109401709401709</v>
      </c>
    </row>
    <row r="12" customFormat="false" ht="15.65" hidden="false" customHeight="false" outlineLevel="0" collapsed="false">
      <c r="A12" s="15" t="s">
        <v>17</v>
      </c>
      <c r="B12" s="16" t="n">
        <v>0.04</v>
      </c>
      <c r="C12" s="16" t="n">
        <v>0</v>
      </c>
      <c r="D12" s="16" t="n">
        <v>0.01</v>
      </c>
      <c r="E12" s="16" t="n">
        <v>0.45</v>
      </c>
      <c r="F12" s="17" t="n">
        <v>0.72</v>
      </c>
      <c r="G12" s="18" t="n">
        <f aca="false">AVERAGE(B12:E12)</f>
        <v>0.125</v>
      </c>
      <c r="H12" s="8" t="n">
        <f aca="false">IFERROR(F12/G12,"")</f>
        <v>5.76</v>
      </c>
    </row>
    <row r="13" customFormat="false" ht="15.65" hidden="false" customHeight="false" outlineLevel="0" collapsed="false">
      <c r="A13" s="15" t="s">
        <v>18</v>
      </c>
      <c r="B13" s="16" t="n">
        <v>0.57</v>
      </c>
      <c r="C13" s="16" t="n">
        <v>0.36</v>
      </c>
      <c r="D13" s="16" t="n">
        <v>0.54</v>
      </c>
      <c r="E13" s="16" t="n">
        <v>0.41</v>
      </c>
      <c r="F13" s="17" t="n">
        <v>0</v>
      </c>
      <c r="G13" s="18" t="n">
        <f aca="false">AVERAGE(B13:E13)</f>
        <v>0.47</v>
      </c>
      <c r="H13" s="8" t="n">
        <f aca="false">IFERROR(F13/G13,"")</f>
        <v>0</v>
      </c>
    </row>
    <row r="14" customFormat="false" ht="15.65" hidden="false" customHeight="false" outlineLevel="0" collapsed="false">
      <c r="A14" s="15" t="s">
        <v>19</v>
      </c>
      <c r="B14" s="16" t="n">
        <v>0.23</v>
      </c>
      <c r="C14" s="16" t="n">
        <v>0.64</v>
      </c>
      <c r="D14" s="16" t="n">
        <v>0.04</v>
      </c>
      <c r="E14" s="16" t="n">
        <v>0.08</v>
      </c>
      <c r="F14" s="17" t="n">
        <v>0</v>
      </c>
      <c r="G14" s="18" t="n">
        <f aca="false">AVERAGE(B14:E14)</f>
        <v>0.2475</v>
      </c>
      <c r="H14" s="8" t="n">
        <f aca="false">IFERROR(F14/G14,"")</f>
        <v>0</v>
      </c>
    </row>
    <row r="15" customFormat="false" ht="15.65" hidden="false" customHeight="false" outlineLevel="0" collapsed="false">
      <c r="A15" s="4" t="s">
        <v>20</v>
      </c>
      <c r="B15" s="5" t="n">
        <v>56500</v>
      </c>
      <c r="C15" s="5" t="n">
        <v>250000</v>
      </c>
      <c r="D15" s="5" t="n">
        <v>10000</v>
      </c>
      <c r="E15" s="5" t="n">
        <v>16000</v>
      </c>
      <c r="F15" s="6" t="n">
        <v>606</v>
      </c>
      <c r="G15" s="7" t="n">
        <f aca="false">AVERAGE(B15:E15)</f>
        <v>83125</v>
      </c>
      <c r="H15" s="8" t="n">
        <f aca="false">IFERROR(F15/G15,"")</f>
        <v>0.00729022556390978</v>
      </c>
    </row>
    <row r="16" customFormat="false" ht="15.65" hidden="false" customHeight="false" outlineLevel="0" collapsed="false">
      <c r="A16" s="4" t="s">
        <v>21</v>
      </c>
      <c r="B16" s="5" t="n">
        <v>27000</v>
      </c>
      <c r="C16" s="5" t="n">
        <v>100000</v>
      </c>
      <c r="D16" s="5" t="n">
        <v>26000</v>
      </c>
      <c r="E16" s="5" t="n">
        <v>24500</v>
      </c>
      <c r="F16" s="6" t="n">
        <v>516</v>
      </c>
      <c r="G16" s="7" t="n">
        <f aca="false">AVERAGE(B16:E16)</f>
        <v>44375</v>
      </c>
      <c r="H16" s="8" t="n">
        <f aca="false">IFERROR(F16/G16,"")</f>
        <v>0.0116281690140845</v>
      </c>
    </row>
    <row r="17" customFormat="false" ht="15.65" hidden="false" customHeight="false" outlineLevel="0" collapsed="false">
      <c r="A17" s="4" t="s">
        <v>22</v>
      </c>
      <c r="B17" s="5" t="n">
        <v>1440000</v>
      </c>
      <c r="C17" s="5" t="n">
        <v>1630000</v>
      </c>
      <c r="D17" s="5" t="n">
        <v>3210000</v>
      </c>
      <c r="E17" s="5" t="n">
        <v>510000</v>
      </c>
      <c r="F17" s="6" t="n">
        <v>8500</v>
      </c>
      <c r="G17" s="7" t="n">
        <f aca="false">AVERAGE(B17:E17)</f>
        <v>1697500</v>
      </c>
      <c r="H17" s="8" t="n">
        <f aca="false">IFERROR(F17/G17,"")</f>
        <v>0.00500736377025037</v>
      </c>
    </row>
    <row r="18" customFormat="false" ht="15.65" hidden="false" customHeight="false" outlineLevel="0" collapsed="false">
      <c r="A18" s="4" t="s">
        <v>23</v>
      </c>
      <c r="B18" s="9" t="n">
        <v>48</v>
      </c>
      <c r="C18" s="9" t="n">
        <v>4</v>
      </c>
      <c r="D18" s="9" t="n">
        <v>48</v>
      </c>
      <c r="E18" s="9" t="n">
        <v>48</v>
      </c>
      <c r="F18" s="10" t="n">
        <v>6</v>
      </c>
      <c r="G18" s="11" t="n">
        <f aca="false">AVERAGE(B18:E18)</f>
        <v>37</v>
      </c>
      <c r="H18" s="8" t="n">
        <f aca="false">IFERROR(F18/G18,"")</f>
        <v>0.162162162162162</v>
      </c>
    </row>
    <row r="19" customFormat="false" ht="15.65" hidden="false" customHeight="false" outlineLevel="0" collapsed="false">
      <c r="A19" s="4" t="s">
        <v>24</v>
      </c>
      <c r="B19" s="5" t="n">
        <v>6050</v>
      </c>
      <c r="C19" s="5" t="n">
        <v>125500</v>
      </c>
      <c r="D19" s="5" t="n">
        <v>3650</v>
      </c>
      <c r="E19" s="5" t="n">
        <v>2750</v>
      </c>
      <c r="F19" s="6" t="n">
        <v>490</v>
      </c>
      <c r="G19" s="7" t="n">
        <f aca="false">AVERAGE(B19:E19)</f>
        <v>34487.5</v>
      </c>
      <c r="H19" s="8" t="n">
        <f aca="false">IFERROR(F19/G19,"")</f>
        <v>0.0142080463936209</v>
      </c>
    </row>
    <row r="20" customFormat="false" ht="15.65" hidden="false" customHeight="false" outlineLevel="0" collapsed="false">
      <c r="A20" s="4" t="s">
        <v>25</v>
      </c>
      <c r="B20" s="5" t="n">
        <v>190000</v>
      </c>
      <c r="C20" s="5" t="n">
        <v>2410000</v>
      </c>
      <c r="D20" s="5" t="n">
        <v>350000</v>
      </c>
      <c r="E20" s="5" t="n">
        <v>120000</v>
      </c>
      <c r="F20" s="6" t="n">
        <v>1700</v>
      </c>
      <c r="G20" s="7" t="n">
        <f aca="false">AVERAGE(B20:E20)</f>
        <v>767500</v>
      </c>
      <c r="H20" s="8" t="n">
        <f aca="false">IFERROR(F20/G20,"")</f>
        <v>0.00221498371335505</v>
      </c>
    </row>
    <row r="21" customFormat="false" ht="15.65" hidden="false" customHeight="false" outlineLevel="0" collapsed="false">
      <c r="A21" s="4" t="s">
        <v>26</v>
      </c>
      <c r="B21" s="19" t="s">
        <v>27</v>
      </c>
      <c r="C21" s="19" t="s">
        <v>27</v>
      </c>
      <c r="D21" s="19" t="s">
        <v>27</v>
      </c>
      <c r="E21" s="19" t="s">
        <v>27</v>
      </c>
      <c r="F21" s="20" t="s">
        <v>28</v>
      </c>
    </row>
    <row r="22" customFormat="false" ht="15.65" hidden="false" customHeight="false" outlineLevel="0" collapsed="false">
      <c r="A22" s="4" t="s">
        <v>29</v>
      </c>
      <c r="B22" s="19" t="s">
        <v>27</v>
      </c>
      <c r="C22" s="19" t="s">
        <v>27</v>
      </c>
      <c r="D22" s="19" t="s">
        <v>27</v>
      </c>
      <c r="E22" s="19" t="s">
        <v>27</v>
      </c>
      <c r="F22" s="20" t="s">
        <v>28</v>
      </c>
    </row>
    <row r="23" customFormat="false" ht="15.65" hidden="false" customHeight="false" outlineLevel="0" collapsed="false">
      <c r="A23" s="4" t="s">
        <v>30</v>
      </c>
      <c r="B23" s="19" t="s">
        <v>28</v>
      </c>
      <c r="C23" s="19" t="s">
        <v>28</v>
      </c>
      <c r="D23" s="19" t="s">
        <v>27</v>
      </c>
      <c r="E23" s="19" t="s">
        <v>28</v>
      </c>
      <c r="F23" s="20" t="s">
        <v>28</v>
      </c>
    </row>
    <row r="24" customFormat="false" ht="15.65" hidden="false" customHeight="false" outlineLevel="0" collapsed="false">
      <c r="A24" s="4" t="s">
        <v>31</v>
      </c>
      <c r="B24" s="7" t="n">
        <f aca="false">B6/B7</f>
        <v>55677.7620927937</v>
      </c>
      <c r="C24" s="7" t="n">
        <f aca="false">C6/C7</f>
        <v>343477.368794326</v>
      </c>
      <c r="D24" s="7" t="n">
        <f aca="false">D6/D7</f>
        <v>27362.832195122</v>
      </c>
      <c r="E24" s="7" t="n">
        <f aca="false">E6/E7</f>
        <v>11250.3669724771</v>
      </c>
      <c r="F24" s="21" t="n">
        <f aca="false">F6/F7</f>
        <v>1105.40740740741</v>
      </c>
      <c r="G24" s="7" t="n">
        <f aca="false">AVERAGE(B24:E24)</f>
        <v>109442.08251368</v>
      </c>
      <c r="H24" s="8" t="n">
        <f aca="false">IFERROR(F24/G24,"")</f>
        <v>0.0101003871821357</v>
      </c>
    </row>
    <row r="25" customFormat="false" ht="15.65" hidden="false" customHeight="false" outlineLevel="0" collapsed="false">
      <c r="A25" s="4" t="s">
        <v>32</v>
      </c>
      <c r="B25" s="14" t="n">
        <f aca="false">B6/B5</f>
        <v>188.005243333333</v>
      </c>
      <c r="C25" s="14" t="n">
        <f aca="false">C6/C5</f>
        <v>163.615908783784</v>
      </c>
      <c r="D25" s="14" t="n">
        <f aca="false">D6/D5</f>
        <v>411.848795888399</v>
      </c>
      <c r="E25" s="14" t="n">
        <f aca="false">E6/E5</f>
        <v>223.542447916667</v>
      </c>
      <c r="F25" s="22" t="n">
        <f aca="false">F6/F5</f>
        <v>414.527777777778</v>
      </c>
      <c r="G25" s="14" t="n">
        <f aca="false">AVERAGE(B25:E25)</f>
        <v>246.753098980546</v>
      </c>
      <c r="H25" s="8" t="n">
        <f aca="false">IFERROR(F25/G25,"")</f>
        <v>1.67992936862957</v>
      </c>
    </row>
    <row r="26" customFormat="false" ht="15.65" hidden="false" customHeight="false" outlineLevel="0" collapsed="false">
      <c r="A26" s="4" t="s">
        <v>33</v>
      </c>
      <c r="B26" s="14" t="n">
        <f aca="false">B10/52</f>
        <v>1.21153846153846</v>
      </c>
      <c r="C26" s="14" t="n">
        <f aca="false">C10/52</f>
        <v>1.17307692307692</v>
      </c>
      <c r="D26" s="14" t="n">
        <f aca="false">D10/52</f>
        <v>1.78846153846154</v>
      </c>
      <c r="E26" s="14" t="n">
        <f aca="false">E10/52</f>
        <v>1.76923076923077</v>
      </c>
      <c r="F26" s="22" t="n">
        <f aca="false">F10/52</f>
        <v>0.942307692307692</v>
      </c>
      <c r="G26" s="14" t="n">
        <f aca="false">AVERAGE(B26:E26)</f>
        <v>1.48557692307692</v>
      </c>
      <c r="H26" s="8" t="n">
        <f aca="false">IFERROR(F26/G26,"")</f>
        <v>0.634304207119741</v>
      </c>
    </row>
    <row r="27" customFormat="false" ht="15.65" hidden="false" customHeight="false" outlineLevel="0" collapsed="false">
      <c r="A27" s="4" t="s">
        <v>34</v>
      </c>
      <c r="B27" s="23" t="n">
        <f aca="false">B16/B5*1000</f>
        <v>90</v>
      </c>
      <c r="C27" s="23" t="n">
        <f aca="false">C16/C5*1000</f>
        <v>337.837837837838</v>
      </c>
      <c r="D27" s="23" t="n">
        <f aca="false">D16/D5*1000</f>
        <v>381.791483113069</v>
      </c>
      <c r="E27" s="23" t="n">
        <f aca="false">E16/E5*1000</f>
        <v>638.020833333333</v>
      </c>
      <c r="F27" s="24" t="n">
        <f aca="false">F16/F5*1000</f>
        <v>2388.88888888889</v>
      </c>
      <c r="G27" s="23" t="n">
        <f aca="false">AVERAGE(B27:E27)</f>
        <v>361.91253857106</v>
      </c>
      <c r="H27" s="8" t="n">
        <f aca="false">IFERROR(F27/G27,"")</f>
        <v>6.60073535534564</v>
      </c>
    </row>
    <row r="29" customFormat="false" ht="15" hidden="false" customHeight="false" outlineLevel="0" collapsed="false">
      <c r="A29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25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26" t="s">
        <v>38</v>
      </c>
      <c r="B4" s="3" t="s">
        <v>39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40</v>
      </c>
      <c r="J4" s="3" t="s">
        <v>41</v>
      </c>
    </row>
    <row r="5" customFormat="false" ht="15" hidden="false" customHeight="false" outlineLevel="0" collapsed="false">
      <c r="A5" s="19" t="n">
        <v>1</v>
      </c>
      <c r="B5" s="4" t="s">
        <v>42</v>
      </c>
      <c r="C5" s="27" t="n">
        <v>5</v>
      </c>
      <c r="D5" s="27" t="n">
        <v>5</v>
      </c>
      <c r="E5" s="27" t="n">
        <v>4</v>
      </c>
      <c r="F5" s="27" t="n">
        <v>3</v>
      </c>
      <c r="G5" s="28" t="n">
        <v>1</v>
      </c>
      <c r="H5" s="14" t="n">
        <f aca="false">AVERAGE(C5:F5)</f>
        <v>4.25</v>
      </c>
      <c r="I5" s="14" t="n">
        <f aca="false">H5-G5</f>
        <v>3.25</v>
      </c>
      <c r="J5" s="19" t="n">
        <f aca="false">RANK(I5,$I$5:$I$14,0)</f>
        <v>1</v>
      </c>
    </row>
    <row r="6" customFormat="false" ht="15" hidden="false" customHeight="false" outlineLevel="0" collapsed="false">
      <c r="A6" s="19" t="n">
        <v>2</v>
      </c>
      <c r="B6" s="4" t="s">
        <v>43</v>
      </c>
      <c r="C6" s="27" t="n">
        <v>5</v>
      </c>
      <c r="D6" s="27" t="n">
        <v>4</v>
      </c>
      <c r="E6" s="27" t="n">
        <v>5</v>
      </c>
      <c r="F6" s="27" t="n">
        <v>4</v>
      </c>
      <c r="G6" s="28" t="n">
        <v>2</v>
      </c>
      <c r="H6" s="14" t="n">
        <f aca="false">AVERAGE(C6:F6)</f>
        <v>4.5</v>
      </c>
      <c r="I6" s="14" t="n">
        <f aca="false">H6-G6</f>
        <v>2.5</v>
      </c>
      <c r="J6" s="19" t="n">
        <f aca="false">RANK(I6,$I$5:$I$14,0)</f>
        <v>2</v>
      </c>
    </row>
    <row r="7" customFormat="false" ht="15" hidden="false" customHeight="false" outlineLevel="0" collapsed="false">
      <c r="A7" s="19" t="n">
        <v>3</v>
      </c>
      <c r="B7" s="4" t="s">
        <v>44</v>
      </c>
      <c r="C7" s="27" t="n">
        <v>4</v>
      </c>
      <c r="D7" s="27" t="n">
        <v>4</v>
      </c>
      <c r="E7" s="27" t="n">
        <v>5</v>
      </c>
      <c r="F7" s="27" t="n">
        <v>5</v>
      </c>
      <c r="G7" s="28" t="n">
        <v>3</v>
      </c>
      <c r="H7" s="14" t="n">
        <f aca="false">AVERAGE(C7:F7)</f>
        <v>4.5</v>
      </c>
      <c r="I7" s="14" t="n">
        <f aca="false">H7-G7</f>
        <v>1.5</v>
      </c>
      <c r="J7" s="19" t="n">
        <f aca="false">RANK(I7,$I$5:$I$14,0)</f>
        <v>8</v>
      </c>
    </row>
    <row r="8" customFormat="false" ht="15" hidden="false" customHeight="false" outlineLevel="0" collapsed="false">
      <c r="A8" s="19" t="n">
        <v>4</v>
      </c>
      <c r="B8" s="4" t="s">
        <v>45</v>
      </c>
      <c r="C8" s="27" t="n">
        <v>4</v>
      </c>
      <c r="D8" s="27" t="n">
        <v>5</v>
      </c>
      <c r="E8" s="27" t="n">
        <v>5</v>
      </c>
      <c r="F8" s="27" t="n">
        <v>3</v>
      </c>
      <c r="G8" s="28" t="n">
        <v>2</v>
      </c>
      <c r="H8" s="14" t="n">
        <f aca="false">AVERAGE(C8:F8)</f>
        <v>4.25</v>
      </c>
      <c r="I8" s="14" t="n">
        <f aca="false">H8-G8</f>
        <v>2.25</v>
      </c>
      <c r="J8" s="19" t="n">
        <f aca="false">RANK(I8,$I$5:$I$14,0)</f>
        <v>4</v>
      </c>
    </row>
    <row r="9" customFormat="false" ht="15" hidden="false" customHeight="false" outlineLevel="0" collapsed="false">
      <c r="A9" s="19" t="n">
        <v>5</v>
      </c>
      <c r="B9" s="4" t="s">
        <v>46</v>
      </c>
      <c r="C9" s="27" t="n">
        <v>5</v>
      </c>
      <c r="D9" s="27" t="n">
        <v>5</v>
      </c>
      <c r="E9" s="27" t="n">
        <v>4</v>
      </c>
      <c r="F9" s="27" t="n">
        <v>4</v>
      </c>
      <c r="G9" s="28" t="n">
        <v>2</v>
      </c>
      <c r="H9" s="14" t="n">
        <f aca="false">AVERAGE(C9:F9)</f>
        <v>4.5</v>
      </c>
      <c r="I9" s="14" t="n">
        <f aca="false">H9-G9</f>
        <v>2.5</v>
      </c>
      <c r="J9" s="19" t="n">
        <f aca="false">RANK(I9,$I$5:$I$14,0)</f>
        <v>2</v>
      </c>
    </row>
    <row r="10" customFormat="false" ht="15" hidden="false" customHeight="false" outlineLevel="0" collapsed="false">
      <c r="A10" s="19" t="n">
        <v>6</v>
      </c>
      <c r="B10" s="4" t="s">
        <v>47</v>
      </c>
      <c r="C10" s="27" t="n">
        <v>4</v>
      </c>
      <c r="D10" s="27" t="n">
        <v>5</v>
      </c>
      <c r="E10" s="27" t="n">
        <v>5</v>
      </c>
      <c r="F10" s="27" t="n">
        <v>3</v>
      </c>
      <c r="G10" s="28" t="n">
        <v>2</v>
      </c>
      <c r="H10" s="14" t="n">
        <f aca="false">AVERAGE(C10:F10)</f>
        <v>4.25</v>
      </c>
      <c r="I10" s="14" t="n">
        <f aca="false">H10-G10</f>
        <v>2.25</v>
      </c>
      <c r="J10" s="19" t="n">
        <f aca="false">RANK(I10,$I$5:$I$14,0)</f>
        <v>4</v>
      </c>
    </row>
    <row r="11" customFormat="false" ht="15" hidden="false" customHeight="false" outlineLevel="0" collapsed="false">
      <c r="A11" s="19" t="n">
        <v>7</v>
      </c>
      <c r="B11" s="4" t="s">
        <v>48</v>
      </c>
      <c r="C11" s="27" t="n">
        <v>5</v>
      </c>
      <c r="D11" s="27" t="n">
        <v>5</v>
      </c>
      <c r="E11" s="27" t="n">
        <v>4</v>
      </c>
      <c r="F11" s="27" t="n">
        <v>3</v>
      </c>
      <c r="G11" s="28" t="n">
        <v>2</v>
      </c>
      <c r="H11" s="14" t="n">
        <f aca="false">AVERAGE(C11:F11)</f>
        <v>4.25</v>
      </c>
      <c r="I11" s="14" t="n">
        <f aca="false">H11-G11</f>
        <v>2.25</v>
      </c>
      <c r="J11" s="19" t="n">
        <f aca="false">RANK(I11,$I$5:$I$14,0)</f>
        <v>4</v>
      </c>
    </row>
    <row r="12" customFormat="false" ht="15" hidden="false" customHeight="false" outlineLevel="0" collapsed="false">
      <c r="A12" s="19" t="n">
        <v>8</v>
      </c>
      <c r="B12" s="4" t="s">
        <v>49</v>
      </c>
      <c r="C12" s="27" t="n">
        <v>5</v>
      </c>
      <c r="D12" s="27" t="n">
        <v>4</v>
      </c>
      <c r="E12" s="27" t="n">
        <v>4</v>
      </c>
      <c r="F12" s="27" t="n">
        <v>4</v>
      </c>
      <c r="G12" s="28" t="n">
        <v>3</v>
      </c>
      <c r="H12" s="14" t="n">
        <f aca="false">AVERAGE(C12:F12)</f>
        <v>4.25</v>
      </c>
      <c r="I12" s="14" t="n">
        <f aca="false">H12-G12</f>
        <v>1.25</v>
      </c>
      <c r="J12" s="19" t="n">
        <f aca="false">RANK(I12,$I$5:$I$14,0)</f>
        <v>9</v>
      </c>
    </row>
    <row r="13" customFormat="false" ht="15" hidden="false" customHeight="false" outlineLevel="0" collapsed="false">
      <c r="A13" s="19" t="n">
        <v>9</v>
      </c>
      <c r="B13" s="4" t="s">
        <v>50</v>
      </c>
      <c r="C13" s="27" t="n">
        <v>5</v>
      </c>
      <c r="D13" s="27" t="n">
        <v>4</v>
      </c>
      <c r="E13" s="27" t="n">
        <v>4</v>
      </c>
      <c r="F13" s="27" t="n">
        <v>4</v>
      </c>
      <c r="G13" s="28" t="n">
        <v>2</v>
      </c>
      <c r="H13" s="14" t="n">
        <f aca="false">AVERAGE(C13:F13)</f>
        <v>4.25</v>
      </c>
      <c r="I13" s="14" t="n">
        <f aca="false">H13-G13</f>
        <v>2.25</v>
      </c>
      <c r="J13" s="19" t="n">
        <f aca="false">RANK(I13,$I$5:$I$14,0)</f>
        <v>4</v>
      </c>
    </row>
    <row r="14" customFormat="false" ht="15" hidden="false" customHeight="false" outlineLevel="0" collapsed="false">
      <c r="A14" s="19" t="n">
        <v>10</v>
      </c>
      <c r="B14" s="4" t="s">
        <v>51</v>
      </c>
      <c r="C14" s="27" t="n">
        <v>5</v>
      </c>
      <c r="D14" s="27" t="n">
        <v>4</v>
      </c>
      <c r="E14" s="27" t="n">
        <v>4</v>
      </c>
      <c r="F14" s="27" t="n">
        <v>3</v>
      </c>
      <c r="G14" s="28" t="n">
        <v>3</v>
      </c>
      <c r="H14" s="14" t="n">
        <f aca="false">AVERAGE(C14:F14)</f>
        <v>4</v>
      </c>
      <c r="I14" s="14" t="n">
        <f aca="false">H14-G14</f>
        <v>1</v>
      </c>
      <c r="J14" s="19" t="n">
        <f aca="false">RANK(I14,$I$5:$I$14,0)</f>
        <v>10</v>
      </c>
    </row>
    <row r="15" customFormat="false" ht="15" hidden="false" customHeight="false" outlineLevel="0" collapsed="false">
      <c r="B15" s="4" t="s">
        <v>52</v>
      </c>
      <c r="C15" s="29" t="n">
        <f aca="false">SUM(C5:C14)</f>
        <v>47</v>
      </c>
      <c r="D15" s="29" t="n">
        <f aca="false">SUM(D5:D14)</f>
        <v>45</v>
      </c>
      <c r="E15" s="29" t="n">
        <f aca="false">SUM(E5:E14)</f>
        <v>44</v>
      </c>
      <c r="F15" s="29" t="n">
        <f aca="false">SUM(F5:F14)</f>
        <v>36</v>
      </c>
      <c r="G15" s="20" t="n">
        <f aca="false">SUM(G5:G14)</f>
        <v>22</v>
      </c>
      <c r="H15" s="30" t="n">
        <f aca="false">AVERAGE(C15:F15)</f>
        <v>43</v>
      </c>
      <c r="I15" s="30" t="n">
        <f aca="false">H15-G15</f>
        <v>21</v>
      </c>
    </row>
    <row r="16" customFormat="false" ht="15" hidden="false" customHeight="false" outlineLevel="0" collapsed="false">
      <c r="B16" s="4" t="s">
        <v>53</v>
      </c>
      <c r="C16" s="14" t="n">
        <f aca="false">AVERAGE(C5:C14)</f>
        <v>4.7</v>
      </c>
      <c r="D16" s="14" t="n">
        <f aca="false">AVERAGE(D5:D14)</f>
        <v>4.5</v>
      </c>
      <c r="E16" s="14" t="n">
        <f aca="false">AVERAGE(E5:E14)</f>
        <v>4.4</v>
      </c>
      <c r="F16" s="14" t="n">
        <f aca="false">AVERAGE(F5:F14)</f>
        <v>3.6</v>
      </c>
      <c r="G16" s="22" t="n">
        <f aca="false">AVERAGE(G5:G14)</f>
        <v>2.2</v>
      </c>
    </row>
    <row r="17" customFormat="false" ht="15" hidden="false" customHeight="false" outlineLevel="0" collapsed="false">
      <c r="B17" s="4" t="s">
        <v>54</v>
      </c>
      <c r="C17" s="18" t="n">
        <f aca="false">C15/50</f>
        <v>0.94</v>
      </c>
      <c r="D17" s="18" t="n">
        <f aca="false">D15/50</f>
        <v>0.9</v>
      </c>
      <c r="E17" s="18" t="n">
        <f aca="false">E15/50</f>
        <v>0.88</v>
      </c>
      <c r="F17" s="18" t="n">
        <f aca="false">F15/50</f>
        <v>0.72</v>
      </c>
      <c r="G17" s="31" t="n">
        <f aca="false">G15/50</f>
        <v>0.44</v>
      </c>
    </row>
    <row r="19" customFormat="false" ht="15" hidden="false" customHeight="false" outlineLevel="0" collapsed="false">
      <c r="B19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8" min="4" style="0" width="34"/>
    <col collapsed="false" customWidth="true" hidden="false" outlineLevel="0" max="9" min="9" style="0" width="40"/>
  </cols>
  <sheetData>
    <row r="1" customFormat="false" ht="23.85" hidden="false" customHeight="false" outlineLevel="0" collapsed="false">
      <c r="A1" s="25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26" t="s">
        <v>38</v>
      </c>
      <c r="B4" s="3" t="s">
        <v>58</v>
      </c>
      <c r="C4" s="3" t="s">
        <v>59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60</v>
      </c>
    </row>
    <row r="5" customFormat="false" ht="117.75" hidden="false" customHeight="true" outlineLevel="0" collapsed="false">
      <c r="A5" s="19" t="n">
        <v>1</v>
      </c>
      <c r="B5" s="4" t="s">
        <v>42</v>
      </c>
      <c r="C5" s="32" t="s">
        <v>61</v>
      </c>
      <c r="D5" s="32" t="s">
        <v>62</v>
      </c>
      <c r="E5" s="32" t="s">
        <v>63</v>
      </c>
      <c r="F5" s="32" t="s">
        <v>64</v>
      </c>
      <c r="G5" s="32" t="s">
        <v>65</v>
      </c>
      <c r="H5" s="33" t="s">
        <v>66</v>
      </c>
      <c r="I5" s="34" t="s">
        <v>67</v>
      </c>
    </row>
    <row r="6" customFormat="false" ht="117.75" hidden="false" customHeight="true" outlineLevel="0" collapsed="false">
      <c r="A6" s="19" t="n">
        <v>2</v>
      </c>
      <c r="B6" s="4" t="s">
        <v>43</v>
      </c>
      <c r="C6" s="32" t="s">
        <v>68</v>
      </c>
      <c r="D6" s="32" t="s">
        <v>69</v>
      </c>
      <c r="E6" s="32" t="s">
        <v>70</v>
      </c>
      <c r="F6" s="32" t="s">
        <v>71</v>
      </c>
      <c r="G6" s="35" t="s">
        <v>72</v>
      </c>
      <c r="H6" s="33" t="s">
        <v>73</v>
      </c>
      <c r="I6" s="36" t="s">
        <v>74</v>
      </c>
    </row>
    <row r="7" customFormat="false" ht="117.75" hidden="false" customHeight="true" outlineLevel="0" collapsed="false">
      <c r="A7" s="19" t="n">
        <v>3</v>
      </c>
      <c r="B7" s="4" t="s">
        <v>44</v>
      </c>
      <c r="C7" s="32" t="s">
        <v>75</v>
      </c>
      <c r="D7" s="32" t="s">
        <v>76</v>
      </c>
      <c r="E7" s="32" t="s">
        <v>77</v>
      </c>
      <c r="F7" s="32" t="s">
        <v>78</v>
      </c>
      <c r="G7" s="32" t="s">
        <v>79</v>
      </c>
      <c r="H7" s="33" t="s">
        <v>80</v>
      </c>
      <c r="I7" s="34" t="s">
        <v>81</v>
      </c>
    </row>
    <row r="8" customFormat="false" ht="117.75" hidden="false" customHeight="true" outlineLevel="0" collapsed="false">
      <c r="A8" s="19" t="n">
        <v>4</v>
      </c>
      <c r="B8" s="4" t="s">
        <v>45</v>
      </c>
      <c r="C8" s="32" t="s">
        <v>82</v>
      </c>
      <c r="D8" s="32" t="s">
        <v>83</v>
      </c>
      <c r="E8" s="32" t="s">
        <v>84</v>
      </c>
      <c r="F8" s="32" t="s">
        <v>85</v>
      </c>
      <c r="G8" s="32" t="s">
        <v>86</v>
      </c>
      <c r="H8" s="33" t="s">
        <v>87</v>
      </c>
      <c r="I8" s="34" t="s">
        <v>88</v>
      </c>
    </row>
    <row r="9" customFormat="false" ht="117.75" hidden="false" customHeight="true" outlineLevel="0" collapsed="false">
      <c r="A9" s="19" t="n">
        <v>5</v>
      </c>
      <c r="B9" s="4" t="s">
        <v>46</v>
      </c>
      <c r="C9" s="32" t="s">
        <v>89</v>
      </c>
      <c r="D9" s="32" t="s">
        <v>90</v>
      </c>
      <c r="E9" s="32" t="s">
        <v>91</v>
      </c>
      <c r="F9" s="32" t="s">
        <v>92</v>
      </c>
      <c r="G9" s="32" t="s">
        <v>93</v>
      </c>
      <c r="H9" s="33" t="s">
        <v>94</v>
      </c>
      <c r="I9" s="34" t="s">
        <v>95</v>
      </c>
    </row>
    <row r="10" customFormat="false" ht="117.75" hidden="false" customHeight="true" outlineLevel="0" collapsed="false">
      <c r="A10" s="19" t="n">
        <v>6</v>
      </c>
      <c r="B10" s="4" t="s">
        <v>47</v>
      </c>
      <c r="C10" s="32" t="s">
        <v>96</v>
      </c>
      <c r="D10" s="32" t="s">
        <v>97</v>
      </c>
      <c r="E10" s="32" t="s">
        <v>98</v>
      </c>
      <c r="F10" s="32" t="s">
        <v>99</v>
      </c>
      <c r="G10" s="32" t="s">
        <v>100</v>
      </c>
      <c r="H10" s="33" t="s">
        <v>101</v>
      </c>
      <c r="I10" s="34" t="s">
        <v>102</v>
      </c>
    </row>
    <row r="11" customFormat="false" ht="117.75" hidden="false" customHeight="true" outlineLevel="0" collapsed="false">
      <c r="A11" s="19" t="n">
        <v>7</v>
      </c>
      <c r="B11" s="4" t="s">
        <v>48</v>
      </c>
      <c r="C11" s="32" t="s">
        <v>103</v>
      </c>
      <c r="D11" s="32" t="s">
        <v>104</v>
      </c>
      <c r="E11" s="32" t="s">
        <v>105</v>
      </c>
      <c r="F11" s="32" t="s">
        <v>106</v>
      </c>
      <c r="G11" s="35" t="s">
        <v>107</v>
      </c>
      <c r="H11" s="37" t="s">
        <v>108</v>
      </c>
      <c r="I11" s="36" t="s">
        <v>109</v>
      </c>
    </row>
    <row r="12" customFormat="false" ht="117.75" hidden="false" customHeight="true" outlineLevel="0" collapsed="false">
      <c r="A12" s="19" t="n">
        <v>8</v>
      </c>
      <c r="B12" s="4" t="s">
        <v>49</v>
      </c>
      <c r="C12" s="32" t="s">
        <v>110</v>
      </c>
      <c r="D12" s="32" t="s">
        <v>111</v>
      </c>
      <c r="E12" s="32" t="s">
        <v>112</v>
      </c>
      <c r="F12" s="35" t="s">
        <v>113</v>
      </c>
      <c r="G12" s="32" t="s">
        <v>114</v>
      </c>
      <c r="H12" s="33" t="s">
        <v>115</v>
      </c>
      <c r="I12" s="34" t="s">
        <v>116</v>
      </c>
    </row>
    <row r="13" customFormat="false" ht="117.75" hidden="false" customHeight="true" outlineLevel="0" collapsed="false">
      <c r="A13" s="19" t="n">
        <v>9</v>
      </c>
      <c r="B13" s="4" t="s">
        <v>50</v>
      </c>
      <c r="C13" s="32" t="s">
        <v>117</v>
      </c>
      <c r="D13" s="32" t="s">
        <v>118</v>
      </c>
      <c r="E13" s="35" t="s">
        <v>119</v>
      </c>
      <c r="F13" s="35" t="s">
        <v>120</v>
      </c>
      <c r="G13" s="35" t="s">
        <v>121</v>
      </c>
      <c r="H13" s="37" t="s">
        <v>122</v>
      </c>
      <c r="I13" s="34" t="s">
        <v>123</v>
      </c>
    </row>
    <row r="14" customFormat="false" ht="117.75" hidden="false" customHeight="true" outlineLevel="0" collapsed="false">
      <c r="A14" s="19" t="n">
        <v>10</v>
      </c>
      <c r="B14" s="4" t="s">
        <v>51</v>
      </c>
      <c r="C14" s="32" t="s">
        <v>124</v>
      </c>
      <c r="D14" s="32" t="s">
        <v>125</v>
      </c>
      <c r="E14" s="32" t="s">
        <v>126</v>
      </c>
      <c r="F14" s="32" t="s">
        <v>127</v>
      </c>
      <c r="G14" s="32" t="s">
        <v>128</v>
      </c>
      <c r="H14" s="33" t="s">
        <v>129</v>
      </c>
      <c r="I14" s="3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3" t="s">
        <v>133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134</v>
      </c>
    </row>
    <row r="5" customFormat="false" ht="15" hidden="false" customHeight="false" outlineLevel="0" collapsed="false">
      <c r="A5" s="4" t="s">
        <v>135</v>
      </c>
      <c r="B5" s="12" t="n">
        <v>34.7</v>
      </c>
      <c r="C5" s="12" t="n">
        <v>47.1</v>
      </c>
      <c r="D5" s="12" t="n">
        <v>66.8</v>
      </c>
      <c r="E5" s="12" t="n">
        <v>39.2</v>
      </c>
      <c r="F5" s="13" t="n">
        <v>42.3</v>
      </c>
      <c r="G5" s="14" t="n">
        <f aca="false">AVERAGE(B5:E5)</f>
        <v>46.95</v>
      </c>
      <c r="H5" s="38" t="n">
        <f aca="false">F5-G5</f>
        <v>-4.65000000000001</v>
      </c>
    </row>
    <row r="6" customFormat="false" ht="15" hidden="false" customHeight="false" outlineLevel="0" collapsed="false">
      <c r="A6" s="4" t="s">
        <v>136</v>
      </c>
      <c r="B6" s="16" t="n">
        <v>0.49</v>
      </c>
      <c r="C6" s="16" t="n">
        <v>0.61</v>
      </c>
      <c r="D6" s="16" t="n">
        <v>0.78</v>
      </c>
      <c r="E6" s="16" t="n">
        <v>0.44</v>
      </c>
      <c r="F6" s="17" t="n">
        <v>0.59</v>
      </c>
      <c r="G6" s="18" t="n">
        <f aca="false">AVERAGE(B6:E6)</f>
        <v>0.58</v>
      </c>
      <c r="H6" s="18" t="n">
        <f aca="false">F6-G6</f>
        <v>0.01</v>
      </c>
    </row>
    <row r="7" customFormat="false" ht="15" hidden="false" customHeight="false" outlineLevel="0" collapsed="false">
      <c r="A7" s="4" t="s">
        <v>137</v>
      </c>
      <c r="B7" s="16" t="n">
        <v>0.29</v>
      </c>
      <c r="C7" s="16" t="n">
        <v>0.07</v>
      </c>
      <c r="D7" s="16" t="n">
        <v>0.64</v>
      </c>
      <c r="E7" s="16" t="n">
        <v>0.27</v>
      </c>
      <c r="F7" s="17" t="n">
        <v>0.51</v>
      </c>
      <c r="G7" s="18" t="n">
        <f aca="false">AVERAGE(B7:E7)</f>
        <v>0.3175</v>
      </c>
      <c r="H7" s="18" t="n">
        <f aca="false">F7-G7</f>
        <v>0.1925</v>
      </c>
    </row>
    <row r="8" customFormat="false" ht="15" hidden="false" customHeight="false" outlineLevel="0" collapsed="false">
      <c r="A8" s="4" t="s">
        <v>138</v>
      </c>
      <c r="B8" s="16" t="n">
        <v>0.05</v>
      </c>
      <c r="C8" s="16" t="n">
        <v>0.04</v>
      </c>
      <c r="D8" s="16" t="n">
        <v>0.1</v>
      </c>
      <c r="E8" s="16" t="n">
        <v>0.18</v>
      </c>
      <c r="F8" s="17" t="n">
        <v>0.43</v>
      </c>
      <c r="G8" s="18" t="n">
        <f aca="false">AVERAGE(B8:E8)</f>
        <v>0.0925</v>
      </c>
      <c r="H8" s="18" t="n">
        <f aca="false">F8-G8</f>
        <v>0.3375</v>
      </c>
    </row>
    <row r="9" customFormat="false" ht="15" hidden="false" customHeight="false" outlineLevel="0" collapsed="false">
      <c r="A9" s="4" t="s">
        <v>139</v>
      </c>
      <c r="B9" s="16" t="n">
        <v>0.56</v>
      </c>
      <c r="C9" s="16" t="n">
        <v>0.66</v>
      </c>
      <c r="D9" s="16" t="n">
        <v>0.64</v>
      </c>
      <c r="E9" s="16" t="n">
        <v>0.28</v>
      </c>
      <c r="F9" s="17" t="n">
        <v>0.44</v>
      </c>
      <c r="G9" s="18" t="n">
        <f aca="false">AVERAGE(B9:E9)</f>
        <v>0.535</v>
      </c>
      <c r="H9" s="18" t="n">
        <f aca="false">F9-G9</f>
        <v>-0.095</v>
      </c>
    </row>
    <row r="10" customFormat="false" ht="15" hidden="false" customHeight="false" outlineLevel="0" collapsed="false">
      <c r="A10" s="4" t="s">
        <v>140</v>
      </c>
      <c r="B10" s="16" t="n">
        <v>0</v>
      </c>
      <c r="C10" s="16" t="n">
        <v>0.2</v>
      </c>
      <c r="D10" s="16" t="n">
        <v>0.03</v>
      </c>
      <c r="E10" s="16" t="n">
        <v>0.01</v>
      </c>
      <c r="F10" s="17" t="n">
        <v>0</v>
      </c>
      <c r="G10" s="18" t="n">
        <f aca="false">AVERAGE(B10:E10)</f>
        <v>0.06</v>
      </c>
      <c r="H10" s="18" t="n">
        <f aca="false">F10-G10</f>
        <v>-0.06</v>
      </c>
    </row>
    <row r="11" customFormat="false" ht="15" hidden="false" customHeight="false" outlineLevel="0" collapsed="false">
      <c r="A11" s="4" t="s">
        <v>141</v>
      </c>
      <c r="B11" s="16" t="n">
        <v>0.15</v>
      </c>
      <c r="C11" s="16" t="n">
        <v>0.53</v>
      </c>
      <c r="D11" s="16" t="n">
        <v>0.78</v>
      </c>
      <c r="E11" s="16" t="n">
        <v>0.3</v>
      </c>
      <c r="F11" s="17" t="n">
        <v>0.05</v>
      </c>
      <c r="G11" s="18" t="n">
        <f aca="false">AVERAGE(B11:E11)</f>
        <v>0.44</v>
      </c>
      <c r="H11" s="18" t="n">
        <f aca="false">F11-G11</f>
        <v>-0.39</v>
      </c>
    </row>
    <row r="12" customFormat="false" ht="15" hidden="false" customHeight="false" outlineLevel="0" collapsed="false">
      <c r="A12" s="4" t="s">
        <v>142</v>
      </c>
      <c r="B12" s="16" t="n">
        <v>0.62</v>
      </c>
      <c r="C12" s="16" t="n">
        <v>0</v>
      </c>
      <c r="D12" s="16" t="n">
        <v>0.09</v>
      </c>
      <c r="E12" s="16" t="n">
        <v>0</v>
      </c>
      <c r="F12" s="17" t="n">
        <v>0</v>
      </c>
      <c r="G12" s="18" t="n">
        <f aca="false">AVERAGE(B12:E12)</f>
        <v>0.1775</v>
      </c>
      <c r="H12" s="18" t="n">
        <f aca="false">F12-G12</f>
        <v>-0.1775</v>
      </c>
    </row>
    <row r="13" customFormat="false" ht="15" hidden="false" customHeight="false" outlineLevel="0" collapsed="false">
      <c r="A13" s="4" t="s">
        <v>143</v>
      </c>
      <c r="B13" s="16" t="n">
        <v>0.14</v>
      </c>
      <c r="C13" s="16" t="n">
        <v>0.21</v>
      </c>
      <c r="D13" s="16" t="n">
        <v>0.82</v>
      </c>
      <c r="E13" s="16" t="n">
        <v>0.17</v>
      </c>
      <c r="F13" s="17" t="n">
        <v>0</v>
      </c>
      <c r="G13" s="18" t="n">
        <f aca="false">AVERAGE(B13:E13)</f>
        <v>0.335</v>
      </c>
      <c r="H13" s="18" t="n">
        <f aca="false">F13-G13</f>
        <v>-0.335</v>
      </c>
    </row>
    <row r="14" customFormat="false" ht="15" hidden="false" customHeight="false" outlineLevel="0" collapsed="false">
      <c r="A14" s="4" t="s">
        <v>144</v>
      </c>
      <c r="B14" s="16" t="n">
        <v>0.03</v>
      </c>
      <c r="C14" s="16" t="n">
        <v>0</v>
      </c>
      <c r="D14" s="16" t="n">
        <v>0.77</v>
      </c>
      <c r="E14" s="16" t="n">
        <v>0.31</v>
      </c>
      <c r="F14" s="17" t="n">
        <v>0.09</v>
      </c>
      <c r="G14" s="18" t="n">
        <f aca="false">AVERAGE(B14:E14)</f>
        <v>0.2775</v>
      </c>
      <c r="H14" s="18" t="n">
        <f aca="false">F14-G14</f>
        <v>-0.1875</v>
      </c>
    </row>
    <row r="16" customFormat="false" ht="15" hidden="false" customHeight="false" outlineLevel="0" collapsed="false">
      <c r="A16" s="39" t="s">
        <v>145</v>
      </c>
    </row>
    <row r="17" customFormat="false" ht="15" hidden="false" customHeight="false" outlineLevel="0" collapsed="false">
      <c r="A17" s="3" t="s">
        <v>146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</row>
    <row r="18" customFormat="false" ht="15" hidden="false" customHeight="false" outlineLevel="0" collapsed="false">
      <c r="A18" s="4" t="s">
        <v>147</v>
      </c>
      <c r="B18" s="40" t="s">
        <v>148</v>
      </c>
      <c r="C18" s="40" t="s">
        <v>149</v>
      </c>
      <c r="D18" s="19" t="s">
        <v>150</v>
      </c>
      <c r="E18" s="19" t="s">
        <v>28</v>
      </c>
      <c r="F18" s="20" t="s">
        <v>28</v>
      </c>
    </row>
    <row r="19" customFormat="false" ht="15" hidden="false" customHeight="false" outlineLevel="0" collapsed="false">
      <c r="A19" s="4" t="s">
        <v>151</v>
      </c>
      <c r="B19" s="19" t="s">
        <v>152</v>
      </c>
      <c r="C19" s="19" t="s">
        <v>153</v>
      </c>
      <c r="D19" s="19" t="s">
        <v>154</v>
      </c>
      <c r="E19" s="19" t="s">
        <v>28</v>
      </c>
      <c r="F19" s="20" t="s">
        <v>28</v>
      </c>
    </row>
    <row r="20" customFormat="false" ht="15" hidden="false" customHeight="false" outlineLevel="0" collapsed="false">
      <c r="A20" s="4" t="s">
        <v>155</v>
      </c>
      <c r="B20" s="19" t="s">
        <v>156</v>
      </c>
      <c r="C20" s="19" t="s">
        <v>156</v>
      </c>
      <c r="D20" s="19" t="s">
        <v>156</v>
      </c>
      <c r="E20" s="19" t="s">
        <v>157</v>
      </c>
      <c r="F20" s="20" t="s">
        <v>158</v>
      </c>
    </row>
    <row r="21" customFormat="false" ht="15" hidden="false" customHeight="false" outlineLevel="0" collapsed="false">
      <c r="A21" s="4" t="s">
        <v>159</v>
      </c>
      <c r="B21" s="40" t="s">
        <v>160</v>
      </c>
      <c r="C21" s="40" t="s">
        <v>161</v>
      </c>
      <c r="D21" s="40" t="s">
        <v>162</v>
      </c>
      <c r="E21" s="40" t="s">
        <v>163</v>
      </c>
      <c r="F21" s="20" t="s">
        <v>28</v>
      </c>
    </row>
    <row r="22" customFormat="false" ht="15" hidden="false" customHeight="false" outlineLevel="0" collapsed="false">
      <c r="A22" s="4" t="s">
        <v>164</v>
      </c>
      <c r="B22" s="19" t="s">
        <v>165</v>
      </c>
      <c r="C22" s="19" t="s">
        <v>28</v>
      </c>
      <c r="D22" s="19" t="s">
        <v>166</v>
      </c>
      <c r="E22" s="19" t="s">
        <v>167</v>
      </c>
      <c r="F22" s="41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3" t="s">
        <v>171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134</v>
      </c>
    </row>
    <row r="5" customFormat="false" ht="15" hidden="false" customHeight="false" outlineLevel="0" collapsed="false">
      <c r="A5" s="4" t="s">
        <v>172</v>
      </c>
      <c r="B5" s="16" t="n">
        <v>0.49</v>
      </c>
      <c r="C5" s="16" t="n">
        <v>0.09</v>
      </c>
      <c r="D5" s="16" t="n">
        <v>0.27</v>
      </c>
      <c r="E5" s="16" t="n">
        <v>0.75</v>
      </c>
      <c r="F5" s="17" t="n">
        <v>0.41</v>
      </c>
      <c r="G5" s="18" t="n">
        <f aca="false">AVERAGE(B5:E5)</f>
        <v>0.4</v>
      </c>
      <c r="H5" s="42" t="n">
        <f aca="false">F5-G5</f>
        <v>0.00999999999999995</v>
      </c>
    </row>
    <row r="6" customFormat="false" ht="15" hidden="false" customHeight="false" outlineLevel="0" collapsed="false">
      <c r="A6" s="4" t="s">
        <v>173</v>
      </c>
      <c r="B6" s="16" t="n">
        <v>0.27</v>
      </c>
      <c r="C6" s="16" t="n">
        <v>0.38</v>
      </c>
      <c r="D6" s="16" t="n">
        <v>0.39</v>
      </c>
      <c r="E6" s="16" t="n">
        <v>0.1</v>
      </c>
      <c r="F6" s="17" t="n">
        <v>0.13</v>
      </c>
      <c r="G6" s="18" t="n">
        <f aca="false">AVERAGE(B6:E6)</f>
        <v>0.285</v>
      </c>
      <c r="H6" s="42" t="n">
        <f aca="false">F6-G6</f>
        <v>-0.155</v>
      </c>
    </row>
    <row r="7" customFormat="false" ht="15" hidden="false" customHeight="false" outlineLevel="0" collapsed="false">
      <c r="A7" s="4" t="s">
        <v>174</v>
      </c>
      <c r="B7" s="16" t="n">
        <v>0.08</v>
      </c>
      <c r="C7" s="16" t="n">
        <v>0.28</v>
      </c>
      <c r="D7" s="16" t="n">
        <v>0.21</v>
      </c>
      <c r="E7" s="16" t="n">
        <v>0.07</v>
      </c>
      <c r="F7" s="17" t="n">
        <v>0.41</v>
      </c>
      <c r="G7" s="18" t="n">
        <f aca="false">AVERAGE(B7:E7)</f>
        <v>0.16</v>
      </c>
      <c r="H7" s="42" t="n">
        <f aca="false">F7-G7</f>
        <v>0.25</v>
      </c>
    </row>
    <row r="8" customFormat="false" ht="15" hidden="false" customHeight="false" outlineLevel="0" collapsed="false">
      <c r="A8" s="4" t="s">
        <v>175</v>
      </c>
      <c r="B8" s="16" t="n">
        <v>0.06</v>
      </c>
      <c r="C8" s="16" t="n">
        <v>0.09</v>
      </c>
      <c r="D8" s="16" t="n">
        <v>0.1</v>
      </c>
      <c r="E8" s="16" t="n">
        <v>0.04</v>
      </c>
      <c r="F8" s="17" t="n">
        <v>0.03</v>
      </c>
      <c r="G8" s="18" t="n">
        <f aca="false">AVERAGE(B8:E8)</f>
        <v>0.0725</v>
      </c>
      <c r="H8" s="42" t="n">
        <f aca="false">F8-G8</f>
        <v>-0.0425</v>
      </c>
    </row>
    <row r="9" customFormat="false" ht="15" hidden="false" customHeight="false" outlineLevel="0" collapsed="false">
      <c r="A9" s="4" t="s">
        <v>176</v>
      </c>
      <c r="B9" s="16" t="n">
        <v>0.09</v>
      </c>
      <c r="C9" s="16" t="n">
        <v>0.15</v>
      </c>
      <c r="D9" s="16" t="n">
        <v>0.04</v>
      </c>
      <c r="E9" s="16" t="n">
        <v>0.05</v>
      </c>
      <c r="F9" s="17" t="n">
        <v>0.01</v>
      </c>
      <c r="G9" s="18" t="n">
        <f aca="false">AVERAGE(B9:E9)</f>
        <v>0.0825</v>
      </c>
      <c r="H9" s="42" t="n">
        <f aca="false">F9-G9</f>
        <v>-0.0725</v>
      </c>
    </row>
    <row r="10" customFormat="false" ht="15" hidden="false" customHeight="false" outlineLevel="0" collapsed="false">
      <c r="A10" s="4" t="s">
        <v>177</v>
      </c>
      <c r="B10" s="16" t="n">
        <v>0.01</v>
      </c>
      <c r="C10" s="16" t="n">
        <v>0</v>
      </c>
      <c r="D10" s="16" t="n">
        <v>0</v>
      </c>
      <c r="E10" s="16" t="n">
        <v>0</v>
      </c>
      <c r="F10" s="17" t="n">
        <v>0</v>
      </c>
      <c r="G10" s="18" t="n">
        <f aca="false">AVERAGE(B10:E10)</f>
        <v>0.0025</v>
      </c>
      <c r="H10" s="42" t="n">
        <f aca="false">F10-G10</f>
        <v>-0.0025</v>
      </c>
    </row>
    <row r="11" customFormat="false" ht="15" hidden="false" customHeight="false" outlineLevel="0" collapsed="false">
      <c r="A11" s="4" t="s">
        <v>178</v>
      </c>
      <c r="B11" s="43" t="n">
        <f aca="false">SUM(B5:B10)</f>
        <v>1</v>
      </c>
      <c r="C11" s="43" t="n">
        <f aca="false">SUM(C5:C10)</f>
        <v>0.99</v>
      </c>
      <c r="D11" s="43" t="n">
        <f aca="false">SUM(D5:D10)</f>
        <v>1.01</v>
      </c>
      <c r="E11" s="43" t="n">
        <f aca="false">SUM(E5:E10)</f>
        <v>1.01</v>
      </c>
      <c r="F11" s="31" t="n">
        <f aca="false">SUM(F5:F10)</f>
        <v>0.99</v>
      </c>
      <c r="G11" s="43" t="n">
        <f aca="false">AVERAGE(B11:E11)</f>
        <v>1.0025</v>
      </c>
    </row>
    <row r="13" customFormat="false" ht="15" hidden="false" customHeight="false" outlineLevel="0" collapsed="false">
      <c r="A13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30"/>
  </cols>
  <sheetData>
    <row r="1" customFormat="false" ht="23.8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false" outlineLevel="0" collapsed="false">
      <c r="A4" s="3" t="s">
        <v>182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2" hidden="false" customHeight="true" outlineLevel="0" collapsed="false">
      <c r="A5" s="4" t="s">
        <v>183</v>
      </c>
      <c r="B5" s="32" t="s">
        <v>184</v>
      </c>
      <c r="C5" s="32" t="s">
        <v>185</v>
      </c>
      <c r="D5" s="32" t="s">
        <v>186</v>
      </c>
      <c r="E5" s="32" t="s">
        <v>187</v>
      </c>
      <c r="F5" s="33" t="s">
        <v>188</v>
      </c>
    </row>
    <row r="6" customFormat="false" ht="42" hidden="false" customHeight="true" outlineLevel="0" collapsed="false">
      <c r="A6" s="4" t="s">
        <v>189</v>
      </c>
      <c r="B6" s="32" t="s">
        <v>190</v>
      </c>
      <c r="C6" s="32" t="s">
        <v>191</v>
      </c>
      <c r="D6" s="32" t="s">
        <v>192</v>
      </c>
      <c r="E6" s="32" t="s">
        <v>193</v>
      </c>
      <c r="F6" s="33" t="s">
        <v>194</v>
      </c>
    </row>
    <row r="7" customFormat="false" ht="42" hidden="false" customHeight="true" outlineLevel="0" collapsed="false">
      <c r="A7" s="4" t="s">
        <v>195</v>
      </c>
      <c r="B7" s="32" t="s">
        <v>196</v>
      </c>
      <c r="C7" s="32" t="s">
        <v>197</v>
      </c>
      <c r="D7" s="32" t="s">
        <v>198</v>
      </c>
      <c r="E7" s="32" t="s">
        <v>199</v>
      </c>
      <c r="F7" s="33" t="s">
        <v>200</v>
      </c>
    </row>
    <row r="8" customFormat="false" ht="42" hidden="false" customHeight="true" outlineLevel="0" collapsed="false">
      <c r="A8" s="4" t="s">
        <v>201</v>
      </c>
      <c r="B8" s="32" t="s">
        <v>202</v>
      </c>
      <c r="C8" s="32" t="s">
        <v>203</v>
      </c>
      <c r="D8" s="32" t="s">
        <v>204</v>
      </c>
      <c r="E8" s="32" t="s">
        <v>205</v>
      </c>
      <c r="F8" s="33" t="s">
        <v>206</v>
      </c>
    </row>
    <row r="9" customFormat="false" ht="42" hidden="false" customHeight="true" outlineLevel="0" collapsed="false">
      <c r="A9" s="4" t="s">
        <v>207</v>
      </c>
      <c r="B9" s="35" t="s">
        <v>208</v>
      </c>
      <c r="C9" s="35" t="s">
        <v>209</v>
      </c>
      <c r="D9" s="35" t="s">
        <v>210</v>
      </c>
      <c r="E9" s="35" t="s">
        <v>211</v>
      </c>
      <c r="F9" s="37" t="s">
        <v>212</v>
      </c>
    </row>
    <row r="10" customFormat="false" ht="42" hidden="false" customHeight="true" outlineLevel="0" collapsed="false">
      <c r="A10" s="4" t="s">
        <v>213</v>
      </c>
      <c r="B10" s="32" t="s">
        <v>214</v>
      </c>
      <c r="C10" s="32" t="s">
        <v>215</v>
      </c>
      <c r="D10" s="32" t="s">
        <v>216</v>
      </c>
      <c r="E10" s="32" t="s">
        <v>217</v>
      </c>
      <c r="F10" s="33" t="s">
        <v>218</v>
      </c>
    </row>
    <row r="11" customFormat="false" ht="42" hidden="false" customHeight="true" outlineLevel="0" collapsed="false">
      <c r="A11" s="4" t="s">
        <v>219</v>
      </c>
      <c r="B11" s="32" t="s">
        <v>220</v>
      </c>
      <c r="C11" s="32" t="s">
        <v>221</v>
      </c>
      <c r="D11" s="32" t="s">
        <v>222</v>
      </c>
      <c r="E11" s="32" t="s">
        <v>223</v>
      </c>
      <c r="F11" s="33" t="s">
        <v>224</v>
      </c>
    </row>
    <row r="12" customFormat="false" ht="42" hidden="false" customHeight="true" outlineLevel="0" collapsed="false">
      <c r="A12" s="15" t="s">
        <v>225</v>
      </c>
      <c r="B12" s="32" t="s">
        <v>226</v>
      </c>
      <c r="C12" s="32" t="s">
        <v>227</v>
      </c>
      <c r="D12" s="35" t="s">
        <v>228</v>
      </c>
      <c r="E12" s="32" t="s">
        <v>229</v>
      </c>
      <c r="F12" s="33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3" t="s">
        <v>233</v>
      </c>
      <c r="B4" s="3" t="s">
        <v>234</v>
      </c>
      <c r="C4" s="3" t="s">
        <v>235</v>
      </c>
      <c r="D4" s="3" t="s">
        <v>236</v>
      </c>
      <c r="E4" s="3" t="s">
        <v>237</v>
      </c>
      <c r="F4" s="3" t="s">
        <v>238</v>
      </c>
      <c r="G4" s="3" t="s">
        <v>239</v>
      </c>
      <c r="H4" s="3" t="s">
        <v>240</v>
      </c>
    </row>
    <row r="5" customFormat="false" ht="15" hidden="false" customHeight="false" outlineLevel="0" collapsed="false">
      <c r="A5" s="4" t="s">
        <v>3</v>
      </c>
      <c r="B5" s="19" t="n">
        <v>1</v>
      </c>
      <c r="C5" s="32" t="s">
        <v>241</v>
      </c>
      <c r="D5" s="5" t="n">
        <v>1440000</v>
      </c>
      <c r="E5" s="9" t="n">
        <v>1011</v>
      </c>
      <c r="F5" s="14" t="n">
        <f aca="false">E5/60</f>
        <v>16.85</v>
      </c>
      <c r="G5" s="9" t="n">
        <v>1095</v>
      </c>
      <c r="H5" s="40" t="s">
        <v>242</v>
      </c>
    </row>
    <row r="6" customFormat="false" ht="15" hidden="false" customHeight="false" outlineLevel="0" collapsed="false">
      <c r="A6" s="4" t="s">
        <v>3</v>
      </c>
      <c r="B6" s="19" t="n">
        <v>2</v>
      </c>
      <c r="C6" s="32" t="s">
        <v>243</v>
      </c>
      <c r="D6" s="5" t="n">
        <v>1330000</v>
      </c>
      <c r="E6" s="9" t="n">
        <v>929</v>
      </c>
      <c r="F6" s="14" t="n">
        <f aca="false">E6/60</f>
        <v>15.4833333333333</v>
      </c>
      <c r="G6" s="9" t="n">
        <v>730</v>
      </c>
      <c r="H6" s="40" t="s">
        <v>244</v>
      </c>
    </row>
    <row r="7" customFormat="false" ht="15" hidden="false" customHeight="false" outlineLevel="0" collapsed="false">
      <c r="A7" s="4" t="s">
        <v>3</v>
      </c>
      <c r="B7" s="19" t="n">
        <v>3</v>
      </c>
      <c r="C7" s="32" t="s">
        <v>245</v>
      </c>
      <c r="D7" s="5" t="n">
        <v>1310000</v>
      </c>
      <c r="E7" s="9" t="n">
        <v>459</v>
      </c>
      <c r="F7" s="14" t="n">
        <f aca="false">E7/60</f>
        <v>7.65</v>
      </c>
      <c r="G7" s="9" t="n">
        <v>2190</v>
      </c>
      <c r="H7" s="40" t="s">
        <v>177</v>
      </c>
    </row>
    <row r="8" customFormat="false" ht="15" hidden="false" customHeight="false" outlineLevel="0" collapsed="false">
      <c r="A8" s="4" t="s">
        <v>3</v>
      </c>
      <c r="B8" s="19" t="n">
        <v>4</v>
      </c>
      <c r="C8" s="35" t="s">
        <v>246</v>
      </c>
      <c r="D8" s="5" t="n">
        <v>1250000</v>
      </c>
      <c r="E8" s="9" t="n">
        <v>903</v>
      </c>
      <c r="F8" s="14" t="n">
        <f aca="false">E8/60</f>
        <v>15.05</v>
      </c>
      <c r="G8" s="9" t="n">
        <v>1825</v>
      </c>
      <c r="H8" s="40" t="s">
        <v>177</v>
      </c>
    </row>
    <row r="9" customFormat="false" ht="15" hidden="false" customHeight="false" outlineLevel="0" collapsed="false">
      <c r="A9" s="4" t="s">
        <v>3</v>
      </c>
      <c r="B9" s="19" t="n">
        <v>5</v>
      </c>
      <c r="C9" s="32" t="s">
        <v>247</v>
      </c>
      <c r="D9" s="5" t="n">
        <v>860000</v>
      </c>
      <c r="E9" s="9" t="n">
        <v>909</v>
      </c>
      <c r="F9" s="14" t="n">
        <f aca="false">E9/60</f>
        <v>15.15</v>
      </c>
      <c r="G9" s="9" t="n">
        <v>1825</v>
      </c>
      <c r="H9" s="40" t="s">
        <v>177</v>
      </c>
    </row>
    <row r="10" customFormat="false" ht="15" hidden="false" customHeight="false" outlineLevel="0" collapsed="false">
      <c r="A10" s="4" t="s">
        <v>3</v>
      </c>
      <c r="B10" s="19" t="n">
        <v>6</v>
      </c>
      <c r="C10" s="32" t="s">
        <v>248</v>
      </c>
      <c r="D10" s="5" t="n">
        <v>820000</v>
      </c>
      <c r="E10" s="9" t="n">
        <v>1030</v>
      </c>
      <c r="F10" s="14" t="n">
        <f aca="false">E10/60</f>
        <v>17.1666666666667</v>
      </c>
      <c r="G10" s="9" t="n">
        <v>1095</v>
      </c>
      <c r="H10" s="40" t="s">
        <v>242</v>
      </c>
    </row>
    <row r="11" customFormat="false" ht="15" hidden="false" customHeight="false" outlineLevel="0" collapsed="false">
      <c r="A11" s="4" t="s">
        <v>3</v>
      </c>
      <c r="B11" s="19" t="n">
        <v>7</v>
      </c>
      <c r="C11" s="32" t="s">
        <v>249</v>
      </c>
      <c r="D11" s="5" t="n">
        <v>810000</v>
      </c>
      <c r="E11" s="9" t="n">
        <v>479</v>
      </c>
      <c r="F11" s="14" t="n">
        <f aca="false">E11/60</f>
        <v>7.98333333333333</v>
      </c>
      <c r="G11" s="9" t="n">
        <v>2190</v>
      </c>
      <c r="H11" s="40" t="s">
        <v>177</v>
      </c>
    </row>
    <row r="12" customFormat="false" ht="15" hidden="false" customHeight="false" outlineLevel="0" collapsed="false">
      <c r="A12" s="4" t="s">
        <v>3</v>
      </c>
      <c r="B12" s="19" t="n">
        <v>8</v>
      </c>
      <c r="C12" s="35" t="s">
        <v>250</v>
      </c>
      <c r="D12" s="5" t="n">
        <v>790000</v>
      </c>
      <c r="E12" s="9" t="n">
        <v>1198</v>
      </c>
      <c r="F12" s="14" t="n">
        <f aca="false">E12/60</f>
        <v>19.9666666666667</v>
      </c>
      <c r="G12" s="9" t="n">
        <v>1095</v>
      </c>
      <c r="H12" s="40" t="s">
        <v>242</v>
      </c>
    </row>
    <row r="13" customFormat="false" ht="15" hidden="false" customHeight="false" outlineLevel="0" collapsed="false">
      <c r="A13" s="4" t="s">
        <v>3</v>
      </c>
      <c r="B13" s="19" t="n">
        <v>9</v>
      </c>
      <c r="C13" s="35" t="s">
        <v>251</v>
      </c>
      <c r="D13" s="5" t="n">
        <v>720000</v>
      </c>
      <c r="E13" s="9" t="n">
        <v>830</v>
      </c>
      <c r="F13" s="14" t="n">
        <f aca="false">E13/60</f>
        <v>13.8333333333333</v>
      </c>
      <c r="G13" s="9" t="n">
        <v>1095</v>
      </c>
      <c r="H13" s="40" t="s">
        <v>242</v>
      </c>
    </row>
    <row r="14" customFormat="false" ht="15" hidden="false" customHeight="false" outlineLevel="0" collapsed="false">
      <c r="A14" s="4" t="s">
        <v>3</v>
      </c>
      <c r="B14" s="19" t="n">
        <v>10</v>
      </c>
      <c r="C14" s="32" t="s">
        <v>252</v>
      </c>
      <c r="D14" s="5" t="n">
        <v>670000</v>
      </c>
      <c r="E14" s="9" t="n">
        <v>974</v>
      </c>
      <c r="F14" s="14" t="n">
        <f aca="false">E14/60</f>
        <v>16.2333333333333</v>
      </c>
      <c r="G14" s="9" t="n">
        <v>1095</v>
      </c>
      <c r="H14" s="40" t="s">
        <v>242</v>
      </c>
    </row>
    <row r="15" customFormat="false" ht="15" hidden="false" customHeight="false" outlineLevel="0" collapsed="false">
      <c r="A15" s="4" t="s">
        <v>4</v>
      </c>
      <c r="B15" s="19" t="n">
        <v>1</v>
      </c>
      <c r="C15" s="35" t="s">
        <v>253</v>
      </c>
      <c r="D15" s="5" t="n">
        <v>1630000</v>
      </c>
      <c r="E15" s="9" t="n">
        <v>1741</v>
      </c>
      <c r="F15" s="14" t="n">
        <f aca="false">E15/60</f>
        <v>29.0166666666667</v>
      </c>
      <c r="G15" s="9" t="n">
        <v>1095</v>
      </c>
      <c r="H15" s="40" t="s">
        <v>242</v>
      </c>
    </row>
    <row r="16" customFormat="false" ht="15" hidden="false" customHeight="false" outlineLevel="0" collapsed="false">
      <c r="A16" s="4" t="s">
        <v>4</v>
      </c>
      <c r="B16" s="19" t="n">
        <v>2</v>
      </c>
      <c r="C16" s="35" t="s">
        <v>254</v>
      </c>
      <c r="D16" s="5" t="n">
        <v>1350000</v>
      </c>
      <c r="E16" s="9" t="n">
        <v>1076</v>
      </c>
      <c r="F16" s="14" t="n">
        <f aca="false">E16/60</f>
        <v>17.9333333333333</v>
      </c>
      <c r="G16" s="9" t="n">
        <v>730</v>
      </c>
      <c r="H16" s="40" t="s">
        <v>242</v>
      </c>
    </row>
    <row r="17" customFormat="false" ht="15" hidden="false" customHeight="false" outlineLevel="0" collapsed="false">
      <c r="A17" s="4" t="s">
        <v>4</v>
      </c>
      <c r="B17" s="19" t="n">
        <v>3</v>
      </c>
      <c r="C17" s="32" t="s">
        <v>255</v>
      </c>
      <c r="D17" s="5" t="n">
        <v>1210000</v>
      </c>
      <c r="E17" s="9" t="n">
        <v>1239</v>
      </c>
      <c r="F17" s="14" t="n">
        <f aca="false">E17/60</f>
        <v>20.65</v>
      </c>
      <c r="G17" s="9" t="n">
        <v>730</v>
      </c>
      <c r="H17" s="40" t="s">
        <v>242</v>
      </c>
    </row>
    <row r="18" customFormat="false" ht="15" hidden="false" customHeight="false" outlineLevel="0" collapsed="false">
      <c r="A18" s="4" t="s">
        <v>4</v>
      </c>
      <c r="B18" s="19" t="n">
        <v>4</v>
      </c>
      <c r="C18" s="32" t="s">
        <v>256</v>
      </c>
      <c r="D18" s="5" t="n">
        <v>1210000</v>
      </c>
      <c r="E18" s="9" t="n">
        <v>1521</v>
      </c>
      <c r="F18" s="14" t="n">
        <f aca="false">E18/60</f>
        <v>25.35</v>
      </c>
      <c r="G18" s="9" t="n">
        <v>1095</v>
      </c>
      <c r="H18" s="40" t="s">
        <v>242</v>
      </c>
    </row>
    <row r="19" customFormat="false" ht="15" hidden="false" customHeight="false" outlineLevel="0" collapsed="false">
      <c r="A19" s="4" t="s">
        <v>4</v>
      </c>
      <c r="B19" s="19" t="n">
        <v>5</v>
      </c>
      <c r="C19" s="32" t="s">
        <v>257</v>
      </c>
      <c r="D19" s="5" t="n">
        <v>1200000</v>
      </c>
      <c r="E19" s="9" t="n">
        <v>1172</v>
      </c>
      <c r="F19" s="14" t="n">
        <f aca="false">E19/60</f>
        <v>19.5333333333333</v>
      </c>
      <c r="G19" s="9" t="n">
        <v>1095</v>
      </c>
      <c r="H19" s="40" t="s">
        <v>258</v>
      </c>
    </row>
    <row r="20" customFormat="false" ht="29.85" hidden="false" customHeight="false" outlineLevel="0" collapsed="false">
      <c r="A20" s="4" t="s">
        <v>4</v>
      </c>
      <c r="B20" s="19" t="n">
        <v>6</v>
      </c>
      <c r="C20" s="32" t="s">
        <v>259</v>
      </c>
      <c r="D20" s="5" t="n">
        <v>1160000</v>
      </c>
      <c r="E20" s="9" t="n">
        <v>1447</v>
      </c>
      <c r="F20" s="14" t="n">
        <f aca="false">E20/60</f>
        <v>24.1166666666667</v>
      </c>
      <c r="G20" s="9" t="n">
        <v>730</v>
      </c>
      <c r="H20" s="40" t="s">
        <v>244</v>
      </c>
    </row>
    <row r="21" customFormat="false" ht="15" hidden="false" customHeight="false" outlineLevel="0" collapsed="false">
      <c r="A21" s="4" t="s">
        <v>4</v>
      </c>
      <c r="B21" s="19" t="n">
        <v>7</v>
      </c>
      <c r="C21" s="32" t="s">
        <v>260</v>
      </c>
      <c r="D21" s="5" t="n">
        <v>1010000</v>
      </c>
      <c r="E21" s="9" t="n">
        <v>1506</v>
      </c>
      <c r="F21" s="14" t="n">
        <f aca="false">E21/60</f>
        <v>25.1</v>
      </c>
      <c r="G21" s="9" t="n">
        <v>730</v>
      </c>
      <c r="H21" s="40" t="s">
        <v>261</v>
      </c>
    </row>
    <row r="22" customFormat="false" ht="15" hidden="false" customHeight="false" outlineLevel="0" collapsed="false">
      <c r="A22" s="4" t="s">
        <v>4</v>
      </c>
      <c r="B22" s="19" t="n">
        <v>8</v>
      </c>
      <c r="C22" s="32" t="s">
        <v>262</v>
      </c>
      <c r="D22" s="5" t="n">
        <v>1010000</v>
      </c>
      <c r="E22" s="9" t="n">
        <v>1047</v>
      </c>
      <c r="F22" s="14" t="n">
        <f aca="false">E22/60</f>
        <v>17.45</v>
      </c>
      <c r="G22" s="9" t="n">
        <v>1095</v>
      </c>
      <c r="H22" s="40" t="s">
        <v>258</v>
      </c>
    </row>
    <row r="23" customFormat="false" ht="15" hidden="false" customHeight="false" outlineLevel="0" collapsed="false">
      <c r="A23" s="4" t="s">
        <v>4</v>
      </c>
      <c r="B23" s="19" t="n">
        <v>9</v>
      </c>
      <c r="C23" s="32" t="s">
        <v>263</v>
      </c>
      <c r="D23" s="5" t="n">
        <v>940000</v>
      </c>
      <c r="E23" s="9" t="n">
        <v>1349</v>
      </c>
      <c r="F23" s="14" t="n">
        <f aca="false">E23/60</f>
        <v>22.4833333333333</v>
      </c>
      <c r="G23" s="9" t="n">
        <v>730</v>
      </c>
      <c r="H23" s="40" t="s">
        <v>242</v>
      </c>
    </row>
    <row r="24" customFormat="false" ht="15" hidden="false" customHeight="false" outlineLevel="0" collapsed="false">
      <c r="A24" s="4" t="s">
        <v>4</v>
      </c>
      <c r="B24" s="19" t="n">
        <v>10</v>
      </c>
      <c r="C24" s="32" t="s">
        <v>264</v>
      </c>
      <c r="D24" s="5" t="n">
        <v>910000</v>
      </c>
      <c r="E24" s="9" t="n">
        <v>1196</v>
      </c>
      <c r="F24" s="14" t="n">
        <f aca="false">E24/60</f>
        <v>19.9333333333333</v>
      </c>
      <c r="G24" s="9" t="n">
        <v>730</v>
      </c>
      <c r="H24" s="40" t="s">
        <v>265</v>
      </c>
    </row>
    <row r="25" customFormat="false" ht="15" hidden="false" customHeight="false" outlineLevel="0" collapsed="false">
      <c r="A25" s="4" t="s">
        <v>5</v>
      </c>
      <c r="B25" s="19" t="n">
        <v>1</v>
      </c>
      <c r="C25" s="32" t="s">
        <v>266</v>
      </c>
      <c r="D25" s="5" t="n">
        <v>3210000</v>
      </c>
      <c r="E25" s="9" t="n">
        <v>1195</v>
      </c>
      <c r="F25" s="14" t="n">
        <f aca="false">E25/60</f>
        <v>19.9166666666667</v>
      </c>
      <c r="G25" s="9" t="n">
        <v>1095</v>
      </c>
      <c r="H25" s="40" t="s">
        <v>242</v>
      </c>
    </row>
    <row r="26" customFormat="false" ht="29.85" hidden="false" customHeight="false" outlineLevel="0" collapsed="false">
      <c r="A26" s="4" t="s">
        <v>5</v>
      </c>
      <c r="B26" s="19" t="n">
        <v>2</v>
      </c>
      <c r="C26" s="32" t="s">
        <v>267</v>
      </c>
      <c r="D26" s="5" t="n">
        <v>1270000</v>
      </c>
      <c r="E26" s="9" t="n">
        <v>948</v>
      </c>
      <c r="F26" s="14" t="n">
        <f aca="false">E26/60</f>
        <v>15.8</v>
      </c>
      <c r="G26" s="9" t="n">
        <v>730</v>
      </c>
      <c r="H26" s="40" t="s">
        <v>261</v>
      </c>
    </row>
    <row r="27" customFormat="false" ht="29.85" hidden="false" customHeight="false" outlineLevel="0" collapsed="false">
      <c r="A27" s="4" t="s">
        <v>5</v>
      </c>
      <c r="B27" s="19" t="n">
        <v>3</v>
      </c>
      <c r="C27" s="32" t="s">
        <v>268</v>
      </c>
      <c r="D27" s="5" t="n">
        <v>620000</v>
      </c>
      <c r="E27" s="9" t="n">
        <v>731</v>
      </c>
      <c r="F27" s="14" t="n">
        <f aca="false">E27/60</f>
        <v>12.1833333333333</v>
      </c>
      <c r="G27" s="9" t="n">
        <v>365</v>
      </c>
      <c r="H27" s="40" t="s">
        <v>242</v>
      </c>
    </row>
    <row r="28" customFormat="false" ht="29.85" hidden="false" customHeight="false" outlineLevel="0" collapsed="false">
      <c r="A28" s="4" t="s">
        <v>5</v>
      </c>
      <c r="B28" s="19" t="n">
        <v>4</v>
      </c>
      <c r="C28" s="32" t="s">
        <v>269</v>
      </c>
      <c r="D28" s="5" t="n">
        <v>450000</v>
      </c>
      <c r="E28" s="9" t="n">
        <v>1351</v>
      </c>
      <c r="F28" s="14" t="n">
        <f aca="false">E28/60</f>
        <v>22.5166666666667</v>
      </c>
      <c r="G28" s="9" t="n">
        <v>330</v>
      </c>
      <c r="H28" s="40" t="s">
        <v>265</v>
      </c>
    </row>
    <row r="29" customFormat="false" ht="29.85" hidden="false" customHeight="false" outlineLevel="0" collapsed="false">
      <c r="A29" s="4" t="s">
        <v>5</v>
      </c>
      <c r="B29" s="19" t="n">
        <v>5</v>
      </c>
      <c r="C29" s="32" t="s">
        <v>270</v>
      </c>
      <c r="D29" s="5" t="n">
        <v>440000</v>
      </c>
      <c r="E29" s="9" t="n">
        <v>558</v>
      </c>
      <c r="F29" s="14" t="n">
        <f aca="false">E29/60</f>
        <v>9.3</v>
      </c>
      <c r="G29" s="9" t="n">
        <v>300</v>
      </c>
      <c r="H29" s="40" t="s">
        <v>258</v>
      </c>
    </row>
    <row r="30" customFormat="false" ht="29.85" hidden="false" customHeight="false" outlineLevel="0" collapsed="false">
      <c r="A30" s="4" t="s">
        <v>5</v>
      </c>
      <c r="B30" s="19" t="n">
        <v>6</v>
      </c>
      <c r="C30" s="35" t="s">
        <v>271</v>
      </c>
      <c r="D30" s="5" t="n">
        <v>330000</v>
      </c>
      <c r="E30" s="9" t="n">
        <v>936</v>
      </c>
      <c r="F30" s="14" t="n">
        <f aca="false">E30/60</f>
        <v>15.6</v>
      </c>
      <c r="G30" s="9" t="n">
        <v>60</v>
      </c>
      <c r="H30" s="40" t="s">
        <v>258</v>
      </c>
    </row>
    <row r="31" customFormat="false" ht="15" hidden="false" customHeight="false" outlineLevel="0" collapsed="false">
      <c r="A31" s="4" t="s">
        <v>5</v>
      </c>
      <c r="B31" s="19" t="n">
        <v>7</v>
      </c>
      <c r="C31" s="32" t="s">
        <v>272</v>
      </c>
      <c r="D31" s="5" t="n">
        <v>320000</v>
      </c>
      <c r="E31" s="9" t="n">
        <v>630</v>
      </c>
      <c r="F31" s="14" t="n">
        <f aca="false">E31/60</f>
        <v>10.5</v>
      </c>
      <c r="G31" s="9" t="n">
        <v>11</v>
      </c>
      <c r="H31" s="40" t="s">
        <v>258</v>
      </c>
    </row>
    <row r="32" customFormat="false" ht="29.85" hidden="false" customHeight="false" outlineLevel="0" collapsed="false">
      <c r="A32" s="4" t="s">
        <v>5</v>
      </c>
      <c r="B32" s="19" t="n">
        <v>8</v>
      </c>
      <c r="C32" s="32" t="s">
        <v>273</v>
      </c>
      <c r="D32" s="5" t="n">
        <v>260000</v>
      </c>
      <c r="E32" s="9" t="n">
        <v>1627</v>
      </c>
      <c r="F32" s="14" t="n">
        <f aca="false">E32/60</f>
        <v>27.1166666666667</v>
      </c>
      <c r="G32" s="9" t="n">
        <v>365</v>
      </c>
      <c r="H32" s="40" t="s">
        <v>258</v>
      </c>
    </row>
    <row r="33" customFormat="false" ht="15" hidden="false" customHeight="false" outlineLevel="0" collapsed="false">
      <c r="A33" s="4" t="s">
        <v>5</v>
      </c>
      <c r="B33" s="19" t="n">
        <v>9</v>
      </c>
      <c r="C33" s="32" t="s">
        <v>274</v>
      </c>
      <c r="D33" s="5" t="n">
        <v>240000</v>
      </c>
      <c r="E33" s="9" t="n">
        <v>920</v>
      </c>
      <c r="F33" s="14" t="n">
        <f aca="false">E33/60</f>
        <v>15.3333333333333</v>
      </c>
      <c r="G33" s="9" t="n">
        <v>365</v>
      </c>
      <c r="H33" s="40" t="s">
        <v>244</v>
      </c>
    </row>
    <row r="34" customFormat="false" ht="29.85" hidden="false" customHeight="false" outlineLevel="0" collapsed="false">
      <c r="A34" s="4" t="s">
        <v>5</v>
      </c>
      <c r="B34" s="19" t="n">
        <v>10</v>
      </c>
      <c r="C34" s="32" t="s">
        <v>275</v>
      </c>
      <c r="D34" s="5" t="n">
        <v>240000</v>
      </c>
      <c r="E34" s="9" t="n">
        <v>937</v>
      </c>
      <c r="F34" s="14" t="n">
        <f aca="false">E34/60</f>
        <v>15.6166666666667</v>
      </c>
      <c r="G34" s="9" t="n">
        <v>365</v>
      </c>
      <c r="H34" s="40" t="s">
        <v>258</v>
      </c>
    </row>
    <row r="35" customFormat="false" ht="15" hidden="false" customHeight="false" outlineLevel="0" collapsed="false">
      <c r="A35" s="4" t="s">
        <v>6</v>
      </c>
      <c r="B35" s="19" t="n">
        <v>1</v>
      </c>
      <c r="C35" s="32" t="s">
        <v>276</v>
      </c>
      <c r="D35" s="5" t="n">
        <v>510000</v>
      </c>
      <c r="E35" s="9" t="n">
        <v>1704</v>
      </c>
      <c r="F35" s="14" t="n">
        <f aca="false">E35/60</f>
        <v>28.4</v>
      </c>
      <c r="G35" s="9" t="n">
        <v>1460</v>
      </c>
      <c r="H35" s="40" t="s">
        <v>261</v>
      </c>
    </row>
    <row r="36" customFormat="false" ht="15" hidden="false" customHeight="false" outlineLevel="0" collapsed="false">
      <c r="A36" s="4" t="s">
        <v>6</v>
      </c>
      <c r="B36" s="19" t="n">
        <v>2</v>
      </c>
      <c r="C36" s="32" t="s">
        <v>277</v>
      </c>
      <c r="D36" s="5" t="n">
        <v>330000</v>
      </c>
      <c r="E36" s="9" t="n">
        <v>656</v>
      </c>
      <c r="F36" s="14" t="n">
        <f aca="false">E36/60</f>
        <v>10.9333333333333</v>
      </c>
      <c r="G36" s="9" t="n">
        <v>21</v>
      </c>
      <c r="H36" s="40" t="s">
        <v>242</v>
      </c>
    </row>
    <row r="37" customFormat="false" ht="15" hidden="false" customHeight="false" outlineLevel="0" collapsed="false">
      <c r="A37" s="4" t="s">
        <v>6</v>
      </c>
      <c r="B37" s="19" t="n">
        <v>3</v>
      </c>
      <c r="C37" s="32" t="s">
        <v>278</v>
      </c>
      <c r="D37" s="5" t="n">
        <v>270000</v>
      </c>
      <c r="E37" s="9" t="n">
        <v>634</v>
      </c>
      <c r="F37" s="14" t="n">
        <f aca="false">E37/60</f>
        <v>10.5666666666667</v>
      </c>
      <c r="G37" s="9" t="n">
        <v>60</v>
      </c>
      <c r="H37" s="40" t="s">
        <v>242</v>
      </c>
    </row>
    <row r="38" customFormat="false" ht="15" hidden="false" customHeight="false" outlineLevel="0" collapsed="false">
      <c r="A38" s="4" t="s">
        <v>6</v>
      </c>
      <c r="B38" s="19" t="n">
        <v>4</v>
      </c>
      <c r="C38" s="32" t="s">
        <v>279</v>
      </c>
      <c r="D38" s="5" t="n">
        <v>240000</v>
      </c>
      <c r="E38" s="9" t="n">
        <v>921</v>
      </c>
      <c r="F38" s="14" t="n">
        <f aca="false">E38/60</f>
        <v>15.35</v>
      </c>
      <c r="G38" s="9" t="n">
        <v>60</v>
      </c>
      <c r="H38" s="40" t="s">
        <v>244</v>
      </c>
    </row>
    <row r="39" customFormat="false" ht="15" hidden="false" customHeight="false" outlineLevel="0" collapsed="false">
      <c r="A39" s="4" t="s">
        <v>6</v>
      </c>
      <c r="B39" s="19" t="n">
        <v>5</v>
      </c>
      <c r="C39" s="32" t="s">
        <v>280</v>
      </c>
      <c r="D39" s="5" t="n">
        <v>170000</v>
      </c>
      <c r="E39" s="9" t="n">
        <v>988</v>
      </c>
      <c r="F39" s="14" t="n">
        <f aca="false">E39/60</f>
        <v>16.4666666666667</v>
      </c>
      <c r="G39" s="9" t="n">
        <v>1095</v>
      </c>
      <c r="H39" s="40" t="s">
        <v>261</v>
      </c>
    </row>
    <row r="40" customFormat="false" ht="15" hidden="false" customHeight="false" outlineLevel="0" collapsed="false">
      <c r="A40" s="4" t="s">
        <v>6</v>
      </c>
      <c r="B40" s="19" t="n">
        <v>6</v>
      </c>
      <c r="C40" s="32" t="s">
        <v>281</v>
      </c>
      <c r="D40" s="5" t="n">
        <v>110000</v>
      </c>
      <c r="E40" s="9" t="n">
        <v>917</v>
      </c>
      <c r="F40" s="14" t="n">
        <f aca="false">E40/60</f>
        <v>15.2833333333333</v>
      </c>
      <c r="G40" s="9" t="n">
        <v>90</v>
      </c>
      <c r="H40" s="40" t="s">
        <v>261</v>
      </c>
    </row>
    <row r="41" customFormat="false" ht="15" hidden="false" customHeight="false" outlineLevel="0" collapsed="false">
      <c r="A41" s="4" t="s">
        <v>6</v>
      </c>
      <c r="B41" s="19" t="n">
        <v>7</v>
      </c>
      <c r="C41" s="32" t="s">
        <v>282</v>
      </c>
      <c r="D41" s="5" t="n">
        <v>93000</v>
      </c>
      <c r="E41" s="9" t="n">
        <v>1012</v>
      </c>
      <c r="F41" s="14" t="n">
        <f aca="false">E41/60</f>
        <v>16.8666666666667</v>
      </c>
      <c r="G41" s="9" t="n">
        <v>1460</v>
      </c>
      <c r="H41" s="40" t="s">
        <v>261</v>
      </c>
    </row>
    <row r="42" customFormat="false" ht="15" hidden="false" customHeight="false" outlineLevel="0" collapsed="false">
      <c r="A42" s="4" t="s">
        <v>6</v>
      </c>
      <c r="B42" s="19" t="n">
        <v>8</v>
      </c>
      <c r="C42" s="32" t="s">
        <v>283</v>
      </c>
      <c r="D42" s="5" t="n">
        <v>90000</v>
      </c>
      <c r="E42" s="9" t="n">
        <v>82</v>
      </c>
      <c r="F42" s="14" t="n">
        <f aca="false">E42/60</f>
        <v>1.36666666666667</v>
      </c>
      <c r="G42" s="9" t="n">
        <v>730</v>
      </c>
      <c r="H42" s="40" t="s">
        <v>261</v>
      </c>
    </row>
    <row r="43" customFormat="false" ht="15" hidden="false" customHeight="false" outlineLevel="0" collapsed="false">
      <c r="A43" s="4" t="s">
        <v>6</v>
      </c>
      <c r="B43" s="19" t="n">
        <v>9</v>
      </c>
      <c r="C43" s="32" t="s">
        <v>284</v>
      </c>
      <c r="D43" s="5" t="n">
        <v>70000</v>
      </c>
      <c r="E43" s="9" t="n">
        <v>985</v>
      </c>
      <c r="F43" s="14" t="n">
        <f aca="false">E43/60</f>
        <v>16.4166666666667</v>
      </c>
      <c r="G43" s="9" t="n">
        <v>270</v>
      </c>
      <c r="H43" s="40" t="s">
        <v>261</v>
      </c>
    </row>
    <row r="44" customFormat="false" ht="15" hidden="false" customHeight="false" outlineLevel="0" collapsed="false">
      <c r="A44" s="4" t="s">
        <v>6</v>
      </c>
      <c r="B44" s="19" t="n">
        <v>10</v>
      </c>
      <c r="C44" s="32" t="s">
        <v>285</v>
      </c>
      <c r="D44" s="5" t="n">
        <v>69000</v>
      </c>
      <c r="E44" s="9" t="n">
        <v>881</v>
      </c>
      <c r="F44" s="14" t="n">
        <f aca="false">E44/60</f>
        <v>14.6833333333333</v>
      </c>
      <c r="G44" s="9" t="n">
        <v>730</v>
      </c>
      <c r="H44" s="40" t="s">
        <v>261</v>
      </c>
    </row>
    <row r="45" customFormat="false" ht="15" hidden="false" customHeight="false" outlineLevel="0" collapsed="false">
      <c r="A45" s="33" t="s">
        <v>7</v>
      </c>
      <c r="B45" s="20" t="n">
        <v>1</v>
      </c>
      <c r="C45" s="33" t="s">
        <v>286</v>
      </c>
      <c r="D45" s="44" t="n">
        <v>8500</v>
      </c>
      <c r="E45" s="45" t="n">
        <v>93</v>
      </c>
      <c r="F45" s="22" t="n">
        <f aca="false">E45/60</f>
        <v>1.55</v>
      </c>
      <c r="G45" s="45" t="n">
        <v>365</v>
      </c>
      <c r="H45" s="41" t="s">
        <v>287</v>
      </c>
    </row>
    <row r="46" customFormat="false" ht="15" hidden="false" customHeight="false" outlineLevel="0" collapsed="false">
      <c r="A46" s="33" t="s">
        <v>7</v>
      </c>
      <c r="B46" s="20" t="n">
        <v>2</v>
      </c>
      <c r="C46" s="33" t="s">
        <v>288</v>
      </c>
      <c r="D46" s="44" t="n">
        <v>5600</v>
      </c>
      <c r="E46" s="45" t="n">
        <v>151</v>
      </c>
      <c r="F46" s="22" t="n">
        <f aca="false">E46/60</f>
        <v>2.51666666666667</v>
      </c>
      <c r="G46" s="45" t="n">
        <v>365</v>
      </c>
      <c r="H46" s="41" t="s">
        <v>287</v>
      </c>
    </row>
    <row r="47" customFormat="false" ht="15" hidden="false" customHeight="false" outlineLevel="0" collapsed="false">
      <c r="A47" s="33" t="s">
        <v>7</v>
      </c>
      <c r="B47" s="20" t="n">
        <v>3</v>
      </c>
      <c r="C47" s="33" t="s">
        <v>289</v>
      </c>
      <c r="D47" s="44" t="n">
        <v>5300</v>
      </c>
      <c r="E47" s="45" t="n">
        <v>181</v>
      </c>
      <c r="F47" s="22" t="n">
        <f aca="false">E47/60</f>
        <v>3.01666666666667</v>
      </c>
      <c r="G47" s="45" t="n">
        <v>365</v>
      </c>
      <c r="H47" s="41" t="s">
        <v>287</v>
      </c>
    </row>
    <row r="48" customFormat="false" ht="15" hidden="false" customHeight="false" outlineLevel="0" collapsed="false">
      <c r="A48" s="33" t="s">
        <v>7</v>
      </c>
      <c r="B48" s="20" t="n">
        <v>4</v>
      </c>
      <c r="C48" s="37" t="s">
        <v>290</v>
      </c>
      <c r="D48" s="44" t="n">
        <v>4500</v>
      </c>
      <c r="E48" s="45" t="n">
        <v>130</v>
      </c>
      <c r="F48" s="22" t="n">
        <f aca="false">E48/60</f>
        <v>2.16666666666667</v>
      </c>
      <c r="G48" s="45" t="n">
        <v>365</v>
      </c>
      <c r="H48" s="41" t="s">
        <v>287</v>
      </c>
    </row>
    <row r="49" customFormat="false" ht="15" hidden="false" customHeight="false" outlineLevel="0" collapsed="false">
      <c r="A49" s="33" t="s">
        <v>7</v>
      </c>
      <c r="B49" s="20" t="n">
        <v>5</v>
      </c>
      <c r="C49" s="33" t="s">
        <v>291</v>
      </c>
      <c r="D49" s="44" t="n">
        <v>4300</v>
      </c>
      <c r="E49" s="45" t="n">
        <v>83</v>
      </c>
      <c r="F49" s="22" t="n">
        <f aca="false">E49/60</f>
        <v>1.38333333333333</v>
      </c>
      <c r="G49" s="45" t="n">
        <v>730</v>
      </c>
      <c r="H49" s="41" t="s">
        <v>292</v>
      </c>
    </row>
    <row r="50" customFormat="false" ht="15" hidden="false" customHeight="false" outlineLevel="0" collapsed="false">
      <c r="A50" s="33" t="s">
        <v>7</v>
      </c>
      <c r="B50" s="20" t="n">
        <v>6</v>
      </c>
      <c r="C50" s="33" t="s">
        <v>293</v>
      </c>
      <c r="D50" s="44" t="n">
        <v>2400</v>
      </c>
      <c r="E50" s="45" t="n">
        <v>196</v>
      </c>
      <c r="F50" s="22" t="n">
        <f aca="false">E50/60</f>
        <v>3.26666666666667</v>
      </c>
      <c r="G50" s="45" t="n">
        <v>365</v>
      </c>
      <c r="H50" s="41" t="s">
        <v>287</v>
      </c>
    </row>
    <row r="51" customFormat="false" ht="15" hidden="false" customHeight="false" outlineLevel="0" collapsed="false">
      <c r="A51" s="33" t="s">
        <v>7</v>
      </c>
      <c r="B51" s="20" t="n">
        <v>7</v>
      </c>
      <c r="C51" s="33" t="s">
        <v>294</v>
      </c>
      <c r="D51" s="44" t="n">
        <v>2300</v>
      </c>
      <c r="E51" s="45" t="n">
        <v>443</v>
      </c>
      <c r="F51" s="22" t="n">
        <f aca="false">E51/60</f>
        <v>7.38333333333333</v>
      </c>
      <c r="G51" s="45" t="n">
        <v>14</v>
      </c>
      <c r="H51" s="41" t="s">
        <v>292</v>
      </c>
    </row>
    <row r="52" customFormat="false" ht="15" hidden="false" customHeight="false" outlineLevel="0" collapsed="false">
      <c r="A52" s="33" t="s">
        <v>7</v>
      </c>
      <c r="B52" s="20" t="n">
        <v>8</v>
      </c>
      <c r="C52" s="33" t="s">
        <v>295</v>
      </c>
      <c r="D52" s="44" t="n">
        <v>2300</v>
      </c>
      <c r="E52" s="45" t="n">
        <v>62</v>
      </c>
      <c r="F52" s="22" t="n">
        <f aca="false">E52/60</f>
        <v>1.03333333333333</v>
      </c>
      <c r="G52" s="45" t="n">
        <v>730</v>
      </c>
      <c r="H52" s="41" t="s">
        <v>292</v>
      </c>
    </row>
    <row r="53" customFormat="false" ht="15" hidden="false" customHeight="false" outlineLevel="0" collapsed="false">
      <c r="A53" s="33" t="s">
        <v>7</v>
      </c>
      <c r="B53" s="20" t="n">
        <v>9</v>
      </c>
      <c r="C53" s="33" t="s">
        <v>296</v>
      </c>
      <c r="D53" s="44" t="n">
        <v>2200</v>
      </c>
      <c r="E53" s="45" t="n">
        <v>72</v>
      </c>
      <c r="F53" s="22" t="n">
        <f aca="false">E53/60</f>
        <v>1.2</v>
      </c>
      <c r="G53" s="45" t="n">
        <v>730</v>
      </c>
      <c r="H53" s="41" t="s">
        <v>292</v>
      </c>
    </row>
    <row r="54" customFormat="false" ht="15" hidden="false" customHeight="false" outlineLevel="0" collapsed="false">
      <c r="A54" s="33" t="s">
        <v>7</v>
      </c>
      <c r="B54" s="20" t="n">
        <v>10</v>
      </c>
      <c r="C54" s="33" t="s">
        <v>297</v>
      </c>
      <c r="D54" s="44" t="n">
        <v>2200</v>
      </c>
      <c r="E54" s="45" t="n">
        <v>80</v>
      </c>
      <c r="F54" s="22" t="n">
        <f aca="false">E54/60</f>
        <v>1.33333333333333</v>
      </c>
      <c r="G54" s="45" t="n">
        <v>365</v>
      </c>
      <c r="H54" s="41" t="s">
        <v>292</v>
      </c>
    </row>
    <row r="56" customFormat="false" ht="41" hidden="false" customHeight="false" outlineLevel="0" collapsed="false">
      <c r="A56" s="3" t="s">
        <v>233</v>
      </c>
      <c r="B56" s="26" t="s">
        <v>298</v>
      </c>
      <c r="C56" s="26" t="s">
        <v>299</v>
      </c>
      <c r="D56" s="26" t="s">
        <v>300</v>
      </c>
    </row>
    <row r="57" customFormat="false" ht="15" hidden="false" customHeight="false" outlineLevel="0" collapsed="false">
      <c r="A57" s="4" t="s">
        <v>3</v>
      </c>
      <c r="B57" s="7" t="n">
        <f aca="false">AVERAGE(D5:D14)</f>
        <v>1000000</v>
      </c>
      <c r="C57" s="14" t="n">
        <f aca="false">AVERAGE(F5:F14)</f>
        <v>14.5366666666667</v>
      </c>
      <c r="D57" s="19" t="n">
        <f aca="false">COUNTIF(E5:E14,"&gt;=600")</f>
        <v>8</v>
      </c>
    </row>
    <row r="58" customFormat="false" ht="15" hidden="false" customHeight="false" outlineLevel="0" collapsed="false">
      <c r="A58" s="4" t="s">
        <v>4</v>
      </c>
      <c r="B58" s="7" t="n">
        <f aca="false">AVERAGE(D15:D24)</f>
        <v>1163000</v>
      </c>
      <c r="C58" s="14" t="n">
        <f aca="false">AVERAGE(F15:F24)</f>
        <v>22.1566666666667</v>
      </c>
      <c r="D58" s="19" t="n">
        <f aca="false">COUNTIF(E15:E24,"&gt;=600")</f>
        <v>10</v>
      </c>
    </row>
    <row r="59" customFormat="false" ht="15" hidden="false" customHeight="false" outlineLevel="0" collapsed="false">
      <c r="A59" s="4" t="s">
        <v>5</v>
      </c>
      <c r="B59" s="7" t="n">
        <f aca="false">AVERAGE(D25:D34)</f>
        <v>738000</v>
      </c>
      <c r="C59" s="14" t="n">
        <f aca="false">AVERAGE(F25:F34)</f>
        <v>16.3883333333333</v>
      </c>
      <c r="D59" s="19" t="n">
        <f aca="false">COUNTIF(E25:E34,"&gt;=600")</f>
        <v>9</v>
      </c>
    </row>
    <row r="60" customFormat="false" ht="15" hidden="false" customHeight="false" outlineLevel="0" collapsed="false">
      <c r="A60" s="4" t="s">
        <v>6</v>
      </c>
      <c r="B60" s="7" t="n">
        <f aca="false">AVERAGE(D35:D44)</f>
        <v>195200</v>
      </c>
      <c r="C60" s="14" t="n">
        <f aca="false">AVERAGE(F35:F44)</f>
        <v>14.6333333333333</v>
      </c>
      <c r="D60" s="19" t="n">
        <f aca="false">COUNTIF(E35:E44,"&gt;=600")</f>
        <v>9</v>
      </c>
    </row>
    <row r="61" customFormat="false" ht="15" hidden="false" customHeight="false" outlineLevel="0" collapsed="false">
      <c r="A61" s="33" t="s">
        <v>7</v>
      </c>
      <c r="B61" s="7" t="n">
        <f aca="false">AVERAGE(D45:D54)</f>
        <v>3960</v>
      </c>
      <c r="C61" s="14" t="n">
        <f aca="false">AVERAGE(F45:F54)</f>
        <v>2.485</v>
      </c>
      <c r="D61" s="19" t="n">
        <f aca="false">COUNTIF(E45:E54,"&gt;=600")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32"/>
  </cols>
  <sheetData>
    <row r="1" customFormat="false" ht="23.8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3" t="s">
        <v>58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8" hidden="false" customHeight="true" outlineLevel="0" collapsed="false">
      <c r="A5" s="4" t="s">
        <v>303</v>
      </c>
      <c r="B5" s="35" t="s">
        <v>304</v>
      </c>
      <c r="C5" s="32" t="s">
        <v>305</v>
      </c>
      <c r="D5" s="32" t="s">
        <v>306</v>
      </c>
      <c r="E5" s="35" t="s">
        <v>307</v>
      </c>
      <c r="F5" s="37" t="s">
        <v>308</v>
      </c>
    </row>
    <row r="6" customFormat="false" ht="48" hidden="false" customHeight="true" outlineLevel="0" collapsed="false">
      <c r="A6" s="4" t="s">
        <v>309</v>
      </c>
      <c r="B6" s="32" t="s">
        <v>310</v>
      </c>
      <c r="C6" s="32" t="s">
        <v>311</v>
      </c>
      <c r="D6" s="32" t="s">
        <v>312</v>
      </c>
      <c r="E6" s="32" t="s">
        <v>313</v>
      </c>
      <c r="F6" s="33" t="s">
        <v>314</v>
      </c>
    </row>
    <row r="7" customFormat="false" ht="48" hidden="false" customHeight="true" outlineLevel="0" collapsed="false">
      <c r="A7" s="4" t="s">
        <v>315</v>
      </c>
      <c r="B7" s="35" t="s">
        <v>316</v>
      </c>
      <c r="C7" s="35" t="s">
        <v>317</v>
      </c>
      <c r="D7" s="35" t="s">
        <v>318</v>
      </c>
      <c r="E7" s="35" t="s">
        <v>319</v>
      </c>
      <c r="F7" s="33" t="s">
        <v>320</v>
      </c>
    </row>
    <row r="8" customFormat="false" ht="48" hidden="false" customHeight="true" outlineLevel="0" collapsed="false">
      <c r="A8" s="4" t="s">
        <v>321</v>
      </c>
      <c r="B8" s="35" t="s">
        <v>322</v>
      </c>
      <c r="C8" s="35" t="s">
        <v>323</v>
      </c>
      <c r="D8" s="35" t="s">
        <v>324</v>
      </c>
      <c r="E8" s="35" t="s">
        <v>325</v>
      </c>
      <c r="F8" s="37" t="s">
        <v>326</v>
      </c>
    </row>
    <row r="9" customFormat="false" ht="48" hidden="false" customHeight="true" outlineLevel="0" collapsed="false">
      <c r="A9" s="4" t="s">
        <v>327</v>
      </c>
      <c r="B9" s="32" t="s">
        <v>328</v>
      </c>
      <c r="C9" s="32" t="s">
        <v>329</v>
      </c>
      <c r="D9" s="32" t="s">
        <v>330</v>
      </c>
      <c r="E9" s="32" t="s">
        <v>331</v>
      </c>
      <c r="F9" s="33" t="s">
        <v>332</v>
      </c>
    </row>
    <row r="10" customFormat="false" ht="48" hidden="false" customHeight="true" outlineLevel="0" collapsed="false">
      <c r="A10" s="4" t="s">
        <v>333</v>
      </c>
      <c r="B10" s="32" t="s">
        <v>334</v>
      </c>
      <c r="C10" s="32" t="s">
        <v>335</v>
      </c>
      <c r="D10" s="32" t="s">
        <v>336</v>
      </c>
      <c r="E10" s="32" t="s">
        <v>335</v>
      </c>
      <c r="F10" s="33" t="s">
        <v>335</v>
      </c>
    </row>
    <row r="11" customFormat="false" ht="48" hidden="false" customHeight="true" outlineLevel="0" collapsed="false">
      <c r="A11" s="4" t="s">
        <v>337</v>
      </c>
      <c r="B11" s="32" t="s">
        <v>338</v>
      </c>
      <c r="C11" s="32" t="s">
        <v>339</v>
      </c>
      <c r="D11" s="32" t="s">
        <v>340</v>
      </c>
      <c r="E11" s="32" t="s">
        <v>341</v>
      </c>
      <c r="F11" s="37" t="s">
        <v>342</v>
      </c>
    </row>
    <row r="12" customFormat="false" ht="48" hidden="false" customHeight="true" outlineLevel="0" collapsed="false">
      <c r="A12" s="4" t="s">
        <v>343</v>
      </c>
      <c r="B12" s="32" t="s">
        <v>344</v>
      </c>
      <c r="C12" s="32" t="s">
        <v>345</v>
      </c>
      <c r="D12" s="32" t="s">
        <v>346</v>
      </c>
      <c r="E12" s="32" t="s">
        <v>347</v>
      </c>
      <c r="F12" s="33" t="s">
        <v>348</v>
      </c>
    </row>
    <row r="13" customFormat="false" ht="48" hidden="false" customHeight="true" outlineLevel="0" collapsed="false">
      <c r="A13" s="4" t="s">
        <v>349</v>
      </c>
      <c r="B13" s="32" t="s">
        <v>350</v>
      </c>
      <c r="C13" s="32" t="s">
        <v>351</v>
      </c>
      <c r="D13" s="35" t="s">
        <v>352</v>
      </c>
      <c r="E13" s="32" t="s">
        <v>353</v>
      </c>
      <c r="F13" s="33" t="s">
        <v>354</v>
      </c>
    </row>
    <row r="14" customFormat="false" ht="48" hidden="false" customHeight="true" outlineLevel="0" collapsed="false">
      <c r="A14" s="4" t="s">
        <v>355</v>
      </c>
      <c r="B14" s="35" t="s">
        <v>356</v>
      </c>
      <c r="C14" s="32" t="s">
        <v>335</v>
      </c>
      <c r="D14" s="32" t="s">
        <v>357</v>
      </c>
      <c r="E14" s="32" t="s">
        <v>358</v>
      </c>
      <c r="F14" s="33" t="s">
        <v>320</v>
      </c>
    </row>
    <row r="15" customFormat="false" ht="48" hidden="false" customHeight="true" outlineLevel="0" collapsed="false">
      <c r="A15" s="4" t="s">
        <v>359</v>
      </c>
      <c r="B15" s="32" t="s">
        <v>360</v>
      </c>
      <c r="C15" s="32" t="s">
        <v>361</v>
      </c>
      <c r="D15" s="32" t="s">
        <v>362</v>
      </c>
      <c r="E15" s="32" t="s">
        <v>363</v>
      </c>
      <c r="F15" s="33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1" t="s">
        <v>365</v>
      </c>
    </row>
    <row r="2" customFormat="false" ht="15" hidden="false" customHeight="false" outlineLevel="0" collapsed="false">
      <c r="A2" s="2" t="s">
        <v>366</v>
      </c>
    </row>
    <row r="4" customFormat="false" ht="15" hidden="false" customHeight="false" outlineLevel="0" collapsed="false">
      <c r="A4" s="3" t="s">
        <v>367</v>
      </c>
      <c r="B4" s="3" t="s">
        <v>368</v>
      </c>
      <c r="C4" s="3" t="s">
        <v>369</v>
      </c>
      <c r="D4" s="3" t="s">
        <v>370</v>
      </c>
      <c r="E4" s="26" t="s">
        <v>371</v>
      </c>
      <c r="F4" s="3" t="s">
        <v>372</v>
      </c>
      <c r="G4" s="3" t="s">
        <v>373</v>
      </c>
    </row>
    <row r="5" customFormat="false" ht="33.75" hidden="false" customHeight="true" outlineLevel="0" collapsed="false">
      <c r="A5" s="29" t="n">
        <v>1</v>
      </c>
      <c r="B5" s="4" t="s">
        <v>374</v>
      </c>
      <c r="C5" s="19" t="s">
        <v>375</v>
      </c>
      <c r="D5" s="40" t="s">
        <v>376</v>
      </c>
      <c r="E5" s="32" t="s">
        <v>377</v>
      </c>
      <c r="F5" s="46" t="s">
        <v>378</v>
      </c>
      <c r="G5" s="47" t="s">
        <v>379</v>
      </c>
    </row>
    <row r="6" customFormat="false" ht="33.75" hidden="false" customHeight="true" outlineLevel="0" collapsed="false">
      <c r="A6" s="29" t="n">
        <v>2</v>
      </c>
      <c r="B6" s="4" t="s">
        <v>380</v>
      </c>
      <c r="C6" s="19" t="s">
        <v>381</v>
      </c>
      <c r="D6" s="19" t="s">
        <v>382</v>
      </c>
      <c r="E6" s="32" t="s">
        <v>383</v>
      </c>
      <c r="F6" s="46" t="s">
        <v>378</v>
      </c>
      <c r="G6" s="47" t="s">
        <v>379</v>
      </c>
    </row>
    <row r="7" customFormat="false" ht="33.75" hidden="false" customHeight="true" outlineLevel="0" collapsed="false">
      <c r="A7" s="29" t="n">
        <v>3</v>
      </c>
      <c r="B7" s="4" t="s">
        <v>384</v>
      </c>
      <c r="C7" s="19" t="s">
        <v>385</v>
      </c>
      <c r="D7" s="19" t="s">
        <v>386</v>
      </c>
      <c r="E7" s="32" t="s">
        <v>387</v>
      </c>
      <c r="F7" s="46" t="s">
        <v>378</v>
      </c>
      <c r="G7" s="47" t="s">
        <v>379</v>
      </c>
    </row>
    <row r="8" customFormat="false" ht="33.75" hidden="false" customHeight="true" outlineLevel="0" collapsed="false">
      <c r="A8" s="29" t="n">
        <v>4</v>
      </c>
      <c r="B8" s="4" t="s">
        <v>388</v>
      </c>
      <c r="C8" s="19" t="s">
        <v>389</v>
      </c>
      <c r="D8" s="19" t="s">
        <v>390</v>
      </c>
      <c r="E8" s="32" t="s">
        <v>391</v>
      </c>
      <c r="F8" s="46" t="s">
        <v>378</v>
      </c>
      <c r="G8" s="47" t="s">
        <v>379</v>
      </c>
    </row>
    <row r="9" customFormat="false" ht="33.75" hidden="false" customHeight="true" outlineLevel="0" collapsed="false">
      <c r="A9" s="29" t="n">
        <v>5</v>
      </c>
      <c r="B9" s="4" t="s">
        <v>392</v>
      </c>
      <c r="C9" s="19" t="s">
        <v>393</v>
      </c>
      <c r="D9" s="19" t="s">
        <v>394</v>
      </c>
      <c r="E9" s="32" t="s">
        <v>395</v>
      </c>
      <c r="F9" s="46" t="s">
        <v>378</v>
      </c>
      <c r="G9" s="47" t="s">
        <v>379</v>
      </c>
    </row>
    <row r="10" customFormat="false" ht="33.75" hidden="false" customHeight="true" outlineLevel="0" collapsed="false">
      <c r="A10" s="29" t="n">
        <v>6</v>
      </c>
      <c r="B10" s="4" t="s">
        <v>396</v>
      </c>
      <c r="C10" s="19" t="s">
        <v>397</v>
      </c>
      <c r="D10" s="19" t="s">
        <v>394</v>
      </c>
      <c r="E10" s="32" t="s">
        <v>398</v>
      </c>
      <c r="F10" s="46" t="s">
        <v>378</v>
      </c>
      <c r="G10" s="47" t="s">
        <v>379</v>
      </c>
    </row>
    <row r="11" customFormat="false" ht="33.75" hidden="false" customHeight="true" outlineLevel="0" collapsed="false">
      <c r="A11" s="29" t="n">
        <v>7</v>
      </c>
      <c r="B11" s="4" t="s">
        <v>399</v>
      </c>
      <c r="C11" s="19" t="s">
        <v>400</v>
      </c>
      <c r="D11" s="19" t="s">
        <v>382</v>
      </c>
      <c r="E11" s="32" t="s">
        <v>401</v>
      </c>
      <c r="F11" s="46" t="s">
        <v>378</v>
      </c>
      <c r="G11" s="47" t="s">
        <v>379</v>
      </c>
    </row>
    <row r="12" customFormat="false" ht="33.75" hidden="false" customHeight="true" outlineLevel="0" collapsed="false">
      <c r="A12" s="29" t="n">
        <v>8</v>
      </c>
      <c r="B12" s="4" t="s">
        <v>402</v>
      </c>
      <c r="C12" s="19" t="s">
        <v>403</v>
      </c>
      <c r="D12" s="40" t="s">
        <v>404</v>
      </c>
      <c r="E12" s="32" t="s">
        <v>405</v>
      </c>
      <c r="F12" s="46" t="s">
        <v>378</v>
      </c>
      <c r="G12" s="47" t="s">
        <v>379</v>
      </c>
    </row>
    <row r="14" customFormat="false" ht="15" hidden="false" customHeight="false" outlineLevel="0" collapsed="false">
      <c r="B14" s="4" t="s">
        <v>406</v>
      </c>
      <c r="C14" s="43" t="n">
        <f aca="false">COUNTIF(G5:G12,"완료")/COUNTA(G5:G12)</f>
        <v>0</v>
      </c>
    </row>
    <row r="15" customFormat="false" ht="15" hidden="false" customHeight="false" outlineLevel="0" collapsed="false">
      <c r="B15" s="2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48" t="s">
        <v>409</v>
      </c>
    </row>
    <row r="5" customFormat="false" ht="31.5" hidden="false" customHeight="true" outlineLevel="0" collapsed="false">
      <c r="A5" s="48" t="s">
        <v>410</v>
      </c>
    </row>
    <row r="6" customFormat="false" ht="31.5" hidden="false" customHeight="true" outlineLevel="0" collapsed="false">
      <c r="A6" s="48" t="s">
        <v>411</v>
      </c>
    </row>
    <row r="7" customFormat="false" ht="31.5" hidden="false" customHeight="true" outlineLevel="0" collapsed="false">
      <c r="A7" s="48" t="s">
        <v>412</v>
      </c>
    </row>
    <row r="8" customFormat="false" ht="31.5" hidden="false" customHeight="true" outlineLevel="0" collapsed="false">
      <c r="A8" s="48" t="s">
        <v>413</v>
      </c>
    </row>
    <row r="9" customFormat="false" ht="31.5" hidden="false" customHeight="true" outlineLevel="0" collapsed="false">
      <c r="A9" s="48" t="s">
        <v>414</v>
      </c>
    </row>
    <row r="11" customFormat="false" ht="15" hidden="false" customHeight="false" outlineLevel="0" collapsed="false">
      <c r="A11" s="39" t="s">
        <v>415</v>
      </c>
    </row>
    <row r="12" customFormat="false" ht="30" hidden="false" customHeight="true" outlineLevel="0" collapsed="false">
      <c r="A12" s="49" t="s">
        <v>416</v>
      </c>
    </row>
    <row r="13" customFormat="false" ht="30" hidden="false" customHeight="true" outlineLevel="0" collapsed="false">
      <c r="A13" s="49" t="s">
        <v>417</v>
      </c>
    </row>
    <row r="14" customFormat="false" ht="30" hidden="false" customHeight="true" outlineLevel="0" collapsed="false">
      <c r="A14" s="49" t="s">
        <v>418</v>
      </c>
    </row>
    <row r="15" customFormat="false" ht="30" hidden="false" customHeight="true" outlineLevel="0" collapsed="false">
      <c r="A15" s="49" t="s">
        <v>419</v>
      </c>
    </row>
    <row r="16" customFormat="false" ht="30" hidden="false" customHeight="true" outlineLevel="0" collapsed="false">
      <c r="A16" s="49" t="s">
        <v>420</v>
      </c>
    </row>
    <row r="18" customFormat="false" ht="15" hidden="false" customHeight="false" outlineLevel="0" collapsed="false">
      <c r="A18" s="39" t="s">
        <v>421</v>
      </c>
    </row>
    <row r="19" customFormat="false" ht="15" hidden="false" customHeight="false" outlineLevel="0" collapsed="false">
      <c r="A19" s="50" t="s">
        <v>422</v>
      </c>
    </row>
    <row r="20" customFormat="false" ht="15" hidden="false" customHeight="false" outlineLevel="0" collapsed="false">
      <c r="A20" s="50" t="s">
        <v>423</v>
      </c>
    </row>
    <row r="21" customFormat="false" ht="15" hidden="false" customHeight="false" outlineLevel="0" collapsed="false">
      <c r="A21" s="50" t="s">
        <v>424</v>
      </c>
    </row>
    <row r="22" customFormat="false" ht="15" hidden="false" customHeight="false" outlineLevel="0" collapsed="false">
      <c r="A22" s="50" t="s">
        <v>425</v>
      </c>
    </row>
    <row r="23" customFormat="false" ht="15" hidden="false" customHeight="false" outlineLevel="0" collapsed="false">
      <c r="A23" s="50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2026-09-17T05:37:09Z</dcterms:created>
  <dc:creator>openpyxl</dc:creator>
  <dc:description/>
  <dc:language>en-US</dc:language>
  <cp:lastModifiedBy/>
  <dcterms:modified xsi:type="dcterms:W3CDTF">2026-09-17T05:37:11Z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